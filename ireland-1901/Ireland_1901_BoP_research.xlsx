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1c5f4c207d4709" /></Relationships>
</file>

<file path=xl/workbook.xml><?xml version="1.0" encoding="utf-8"?>
<x:workbook xmlns:x="http://schemas.openxmlformats.org/spreadsheetml/2006/main">
  <x:sheets>
    <x:sheet xmlns:r="http://schemas.openxmlformats.org/officeDocument/2006/relationships" name="Estimated account" sheetId="1" r:id="R1adae8ac0064439f"/>
    <x:sheet xmlns:r="http://schemas.openxmlformats.org/officeDocument/2006/relationships" name="Sandbox" sheetId="2" r:id="Rfa3f350955d54ec3"/>
    <x:sheet xmlns:r="http://schemas.openxmlformats.org/officeDocument/2006/relationships" name="Account" sheetId="3" r:id="Rd147257871544899"/>
    <x:sheet xmlns:r="http://schemas.openxmlformats.org/officeDocument/2006/relationships" name="Fiscal comparison" sheetId="4" r:id="R7c24442e9dcb4294"/>
    <x:sheet xmlns:r="http://schemas.openxmlformats.org/officeDocument/2006/relationships" name="GDP basis" sheetId="5" r:id="Rac75d1de3a4d460b"/>
    <x:sheet xmlns:r="http://schemas.openxmlformats.org/officeDocument/2006/relationships" name="Trade" sheetId="6" r:id="Rae79b5cd46874be5"/>
    <x:sheet xmlns:r="http://schemas.openxmlformats.org/officeDocument/2006/relationships" name="Evidence" sheetId="7" r:id="Rf58e6d5c8ce842e4"/>
    <x:sheet xmlns:r="http://schemas.openxmlformats.org/officeDocument/2006/relationships" name="Trade inputs" sheetId="8" r:id="Rc4aa272432094983"/>
    <x:sheet xmlns:r="http://schemas.openxmlformats.org/officeDocument/2006/relationships" name="Method" sheetId="9" r:id="Rc6c0dea8b7ff4025"/>
    <x:sheet xmlns:r="http://schemas.openxmlformats.org/officeDocument/2006/relationships" name="Government payments" sheetId="10" r:id="R3a84c5505cb447fc"/>
    <x:sheet xmlns:r="http://schemas.openxmlformats.org/officeDocument/2006/relationships" name="Investment cross-check" sheetId="11" r:id="R0c0112408ade4d92"/>
    <x:sheet xmlns:r="http://schemas.openxmlformats.org/officeDocument/2006/relationships" name="Estate income model" sheetId="12" r:id="Rfc83474e29db4c3d"/>
    <x:sheet xmlns:r="http://schemas.openxmlformats.org/officeDocument/2006/relationships" name="Primrose evidence" sheetId="13" r:id="R47806b00ae2f4ec6"/>
    <x:sheet xmlns:r="http://schemas.openxmlformats.org/officeDocument/2006/relationships" name="Outward property income" sheetId="14" r:id="R750aba910e4c48c1"/>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Red](#,##0);0"/>
    <x:numFmt numFmtId="201" formatCode="0.00"/>
    <x:numFmt numFmtId="202" formatCode="0.0%"/>
    <x:numFmt numFmtId="203" formatCode="#,##0.00;[Red](#,##0.00);0"/>
    <x:numFmt numFmtId="204" formatCode="0.000000"/>
    <x:numFmt numFmtId="205" formatCode="#,##0.00"/>
    <x:numFmt numFmtId="206" formatCode="0.00%"/>
    <x:numFmt numFmtId="207" formatCode="#,##0"/>
    <x:numFmt numFmtId="208" formatCode="0.0000"/>
    <x:numFmt numFmtId="209" formatCode="0%"/>
  </x:numFmts>
  <x:fonts count="7">
    <x:font>
      <x:sz val="11"/>
      <x:name val="Carlito"/>
    </x:font>
    <x:font>
      <x:sz val="10"/>
      <x:color rgb="FF202B35"/>
      <x:name val="Arial"/>
    </x:font>
    <x:font>
      <x:b/>
      <x:sz val="15"/>
      <x:color rgb="FF243A51"/>
      <x:name val="Arial"/>
    </x:font>
    <x:font>
      <x:b/>
      <x:sz val="10"/>
      <x:color rgb="FFFFFFFF"/>
      <x:name val="Arial"/>
    </x:font>
    <x:font>
      <x:b/>
      <x:sz val="10"/>
      <x:color rgb="FF202B35"/>
      <x:name val="Arial"/>
    </x:font>
    <x:font>
      <x:sz val="10"/>
      <x:color rgb="FF245AA5"/>
      <x:name val="Arial"/>
    </x:font>
    <x:font>
      <x:b/>
      <x:sz val="11"/>
      <x:name val="Carlito"/>
    </x:font>
  </x:fonts>
  <x:fills count="6">
    <x:fill>
      <x:patternFill patternType="none"/>
    </x:fill>
    <x:fill>
      <x:patternFill patternType="gray125"/>
    </x:fill>
    <x:fill>
      <x:patternFill patternType="solid">
        <x:fgColor rgb="FF304B63"/>
      </x:patternFill>
    </x:fill>
    <x:fill>
      <x:patternFill patternType="solid">
        <x:fgColor rgb="FFE7EDF2"/>
      </x:patternFill>
    </x:fill>
    <x:fill>
      <x:patternFill patternType="solid">
        <x:fgColor rgb="FFFFF1CF"/>
      </x:patternFill>
    </x:fill>
    <x:fill>
      <x:patternFill patternType="solid">
        <x:fgColor rgb="FFFFFFFF"/>
      </x:patternFill>
    </x:fill>
  </x:fills>
  <x:borders count="2">
    <x:border>
      <x:left/>
      <x:right/>
      <x:top/>
      <x:bottom/>
      <x:diagonal/>
    </x:border>
    <x:border>
      <x:left/>
      <x:right/>
      <x:top/>
      <x:bottom style="thin">
        <x:color rgb="FFB8C3CC"/>
      </x:bottom>
      <x:diagonal/>
    </x:border>
  </x:borders>
  <x:cellStyleXfs count="1">
    <x:xf numFmtId="0" fontId="0" fillId="0" borderId="0"/>
  </x:cellStyleXfs>
  <x:cellXfs count="7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200" fontId="4"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4" fillId="3" borderId="0" xfId="0" applyNumberFormat="1" applyFont="1" applyFill="1" applyBorder="1" applyAlignment="1">
      <x:alignment vertical="center"/>
    </x:xf>
    <x:xf numFmtId="202" fontId="1" fillId="3" borderId="0" xfId="0" applyNumberFormat="1" applyFont="1" applyFill="1" applyBorder="1" applyAlignment="1">
      <x:alignment vertical="center"/>
    </x:xf>
    <x:xf numFmtId="202" fontId="4" fillId="3"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4"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1" fontId="4" fillId="3"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202" fontId="4" fillId="3" borderId="0" xfId="0" applyNumberFormat="1" applyFont="1" applyFill="1" applyBorder="1" applyAlignment="1">
      <x:alignment horizontal="right" vertical="center"/>
    </x:xf>
    <x:xf numFmtId="200" fontId="4" fillId="3" borderId="0" xfId="0" applyNumberFormat="1" applyFont="1" applyFill="1" applyBorder="1" applyAlignment="1">
      <x:alignment horizontal="right" vertical="center"/>
    </x:xf>
    <x:xf numFmtId="206" fontId="1" fillId="0" borderId="0" xfId="0" applyNumberFormat="1" applyFont="1" applyFill="1" applyBorder="1" applyAlignment="1">
      <x:alignment horizontal="right" vertical="center"/>
    </x:xf>
    <x:xf numFmtId="206" fontId="4" fillId="3" borderId="0" xfId="0" applyNumberFormat="1" applyFont="1" applyFill="1" applyBorder="1" applyAlignment="1">
      <x:alignment vertical="center"/>
    </x:xf>
    <x:xf numFmtId="206" fontId="4" fillId="3" borderId="0" xfId="0" applyNumberFormat="1" applyFont="1" applyFill="1" applyBorder="1" applyAlignment="1">
      <x:alignment horizontal="right" vertical="center"/>
    </x:xf>
    <x:xf numFmtId="207" fontId="1" fillId="0" borderId="0" xfId="0" applyNumberFormat="1" applyFont="1" applyFill="1" applyBorder="1" applyAlignment="1">
      <x:alignment vertical="center"/>
    </x:xf>
    <x:xf numFmtId="207" fontId="4" fillId="3" borderId="0" xfId="0" applyNumberFormat="1" applyFont="1" applyFill="1" applyBorder="1" applyAlignment="1">
      <x:alignment vertical="center"/>
    </x:xf>
    <x:xf numFmtId="205" fontId="4" fillId="3" borderId="0" xfId="0" applyNumberFormat="1" applyFont="1" applyFill="1" applyBorder="1" applyAlignment="1">
      <x:alignment vertical="center"/>
    </x:xf>
    <x:xf numFmtId="208" fontId="1" fillId="0" borderId="0" xfId="0" applyNumberFormat="1" applyFont="1" applyFill="1" applyBorder="1" applyAlignment="1">
      <x:alignment vertical="center"/>
    </x:xf>
    <x:xf numFmtId="200" fontId="1" fillId="5" borderId="0" xfId="0" applyNumberFormat="1" applyFont="1" applyFill="1" applyBorder="1" applyAlignment="1">
      <x:alignment vertical="center"/>
    </x:xf>
    <x:xf numFmtId="209" fontId="1" fillId="0" borderId="0" xfId="0" applyNumberFormat="1" applyFont="1" applyFill="1" applyBorder="1" applyAlignment="1">
      <x:alignment vertical="center"/>
    </x:xf>
    <x:xf numFmtId="207" fontId="1" fillId="3" borderId="0"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0" borderId="0" xfId="0" applyNumberFormat="1" applyFont="1" applyFill="1" applyBorder="1" applyAlignment="1">
      <x:alignment wrapText="1"/>
    </x:xf>
    <x:xf numFmtId="207" fontId="0" fillId="0" borderId="0" xfId="0" applyNumberFormat="1" applyFont="1" applyFill="1" applyBorder="1"/>
    <x:xf numFmtId="207" fontId="3" fillId="2" borderId="0" xfId="0" applyNumberFormat="1" applyFont="1" applyFill="1" applyBorder="1" applyAlignment="1">
      <x:alignment wrapText="1"/>
    </x:xf>
    <x:xf numFmtId="202" fontId="0" fillId="0" borderId="0" xfId="0" applyNumberFormat="1" applyFont="1" applyFill="1" applyBorder="1"/>
    <x:xf numFmtId="207"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8" fontId="1" fillId="0" borderId="0" xfId="0" applyNumberFormat="1" applyFont="1" applyFill="1" applyBorder="1" applyAlignment="1">
      <x:alignment vertical="center" wrapText="1"/>
    </x:xf>
    <x:xf numFmtId="209" fontId="1" fillId="0" borderId="0" xfId="0" applyNumberFormat="1" applyFont="1" applyFill="1" applyBorder="1" applyAlignment="1">
      <x:alignment vertical="center" wrapText="1"/>
    </x:xf>
    <x:xf numFmtId="207" fontId="4" fillId="3" borderId="0" xfId="0" applyNumberFormat="1" applyFont="1" applyFill="1" applyBorder="1" applyAlignment="1">
      <x:alignment vertical="center" wrapText="1"/>
    </x:xf>
    <x:xf numFmtId="207" fontId="5" fillId="0" borderId="0" xfId="0" applyNumberFormat="1" applyFont="1" applyFill="1" applyBorder="1" applyAlignment="1">
      <x:alignment vertical="center" wrapText="1"/>
    </x:xf>
    <x:xf numFmtId="209" fontId="1" fillId="4"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9" fontId="1" fillId="4"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0" fontId="4"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200" fontId="0" fillId="3" borderId="0" xfId="0" applyNumberFormat="1" applyFont="1" applyFill="1" applyBorder="1" applyAlignment="1">
      <x:alignment wrapText="1"/>
    </x:xf>
    <x:xf numFmtId="0" fontId="6" fillId="3" borderId="0" xfId="0" applyNumberFormat="1" applyFont="1" applyFill="1" applyBorder="1" applyAlignment="1">
      <x:alignment wrapText="1"/>
    </x:xf>
    <x:xf numFmtId="200" fontId="6"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5e04ad529e4926" /><Relationship Type="http://schemas.openxmlformats.org/officeDocument/2006/relationships/theme" Target="/xl/theme/theme1.xml" Id="R090c35f72f9c447c" /><Relationship Type="http://schemas.openxmlformats.org/officeDocument/2006/relationships/sharedStrings" Target="/xl/sharedStrings.xml" Id="R8560422ba700442d" /><Relationship Type="http://schemas.openxmlformats.org/officeDocument/2006/relationships/worksheet" Target="/xl/worksheets/sheet1.xml" Id="R1adae8ac0064439f" /><Relationship Type="http://schemas.openxmlformats.org/officeDocument/2006/relationships/worksheet" Target="/xl/worksheets/sheet2.xml" Id="Rfa3f350955d54ec3" /><Relationship Type="http://schemas.openxmlformats.org/officeDocument/2006/relationships/worksheet" Target="/xl/worksheets/sheet3.xml" Id="Rd147257871544899" /><Relationship Type="http://schemas.openxmlformats.org/officeDocument/2006/relationships/worksheet" Target="/xl/worksheets/sheet4.xml" Id="R7c24442e9dcb4294" /><Relationship Type="http://schemas.openxmlformats.org/officeDocument/2006/relationships/worksheet" Target="/xl/worksheets/sheet5.xml" Id="Rac75d1de3a4d460b" /><Relationship Type="http://schemas.openxmlformats.org/officeDocument/2006/relationships/worksheet" Target="/xl/worksheets/sheet6.xml" Id="Rae79b5cd46874be5" /><Relationship Type="http://schemas.openxmlformats.org/officeDocument/2006/relationships/worksheet" Target="/xl/worksheets/sheet7.xml" Id="Rf58e6d5c8ce842e4" /><Relationship Type="http://schemas.openxmlformats.org/officeDocument/2006/relationships/worksheet" Target="/xl/worksheets/sheet8.xml" Id="Rc4aa272432094983" /><Relationship Type="http://schemas.openxmlformats.org/officeDocument/2006/relationships/worksheet" Target="/xl/worksheets/sheet9.xml" Id="Rc6c0dea8b7ff4025" /><Relationship Type="http://schemas.openxmlformats.org/officeDocument/2006/relationships/worksheet" Target="/xl/worksheets/sheet10.xml" Id="R3a84c5505cb447fc" /><Relationship Type="http://schemas.openxmlformats.org/officeDocument/2006/relationships/worksheet" Target="/xl/worksheets/sheet11.xml" Id="R0c0112408ade4d92" /><Relationship Type="http://schemas.openxmlformats.org/officeDocument/2006/relationships/worksheet" Target="/xl/worksheets/sheet12.xml" Id="Rfc83474e29db4c3d" /><Relationship Type="http://schemas.openxmlformats.org/officeDocument/2006/relationships/worksheet" Target="/xl/worksheets/sheet13.xml" Id="R47806b00ae2f4ec6" /><Relationship Type="http://schemas.openxmlformats.org/officeDocument/2006/relationships/worksheet" Target="/xl/worksheets/sheet14.xml" Id="R750aba910e4c48c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21" hidden="0" customWidth="1"/>
    <x:col min="3" max="3" width="29" hidden="0" customWidth="1"/>
    <x:col min="4" max="4" width="81" hidden="0" customWidth="1"/>
  </x:cols>
  <x:sheetData>
    <x:row r="1" ht="23" customHeight="1">
      <x:c r="A1" s="2"/>
      <x:c r="B1" s="2"/>
      <x:c r="C1" s="2"/>
      <x:c r="D1" s="2"/>
    </x:row>
    <x:row r="2" ht="23" customHeight="1">
      <x:c r="A2" s="3" t="str">
        <x:v>Ireland 1901: provisional estimated account</x:v>
      </x:c>
      <x:c r="B2" s="2"/>
      <x:c r="C2" s="2"/>
      <x:c r="D2" s="2"/>
    </x:row>
    <x:row r="3" ht="38" customHeight="1">
      <x:c r="A3" s="60" t="str">
        <x:v>Working estimate: positive = receipts; negative = payments. Existing Account retains previously adopted entries and evidence status.</x:v>
      </x:c>
      <x:c r="B3" s="60"/>
      <x:c r="C3" s="60"/>
      <x:c r="D3" s="60"/>
    </x:row>
    <x:row r="4" ht="23" customHeight="1">
      <x:c r="A4" s="2"/>
      <x:c r="B4" s="2"/>
      <x:c r="C4" s="2"/>
      <x:c r="D4" s="2"/>
    </x:row>
    <x:row r="5" ht="30" customHeight="1">
      <x:c r="A5" s="7" t="str">
        <x:v>Component</x:v>
      </x:c>
      <x:c r="B5" s="7" t="str">
        <x:v>Working £</x:v>
      </x:c>
      <x:c r="C5" s="7" t="str">
        <x:v>Basis</x:v>
      </x:c>
      <x:c r="D5" s="7" t="str">
        <x:v>Source / assumption</x:v>
      </x:c>
    </x:row>
    <x:row r="6" ht="65" customHeight="1">
      <x:c r="A6" s="10" t="str">
        <x:v>Merchandise trade</x:v>
      </x:c>
      <x:c r="B6" s="62" t="n">
        <x:f>'Account'!B7</x:f>
        <x:v>-4096737</x:v>
      </x:c>
      <x:c r="C6" s="10" t="str">
        <x:v>Agreed proxy</x:v>
      </x:c>
      <x:c r="D6" s="10" t="str">
        <x:v>1904 values used unchanged for 1901; Account row 7 / Trade.</x:v>
      </x:c>
    </x:row>
    <x:row r="7" ht="65" customHeight="1">
      <x:c r="A7" s="10" t="str">
        <x:v>Fiscal residual</x:v>
      </x:c>
      <x:c r="B7" s="62" t="n">
        <x:f>'Account'!B8</x:f>
        <x:v>-2199000</x:v>
      </x:c>
      <x:c r="C7" s="10" t="str">
        <x:v>1900–01</x:v>
      </x:c>
      <x:c r="D7" s="10" t="str">
        <x:v>Irish services less attributed revenue. A fiscal allocation convention, not a complete measure of payments across Ireland’s boundary; see Method rows32–42.</x:v>
      </x:c>
    </x:row>
    <x:row r="8" ht="90" customHeight="1">
      <x:c r="A8" s="10" t="str">
        <x:v>Army works: local receipts proxy</x:v>
      </x:c>
      <x:c r="B8" s="62" t="n">
        <x:f>ROUND('Government payments'!B5,-4)</x:f>
        <x:v>100000</x:v>
      </x:c>
      <x:c r="C8" s="10" t="str">
        <x:v>Partial spending proxy</x:v>
      </x:c>
      <x:c r="D8" s="10" t="str">
        <x:v>Government payments B5. Assume selected expenditure reaches Irish residents; residency and merchandise overlap not yet reconciled. Rounded to £10,000; not total military expenditure.</x:v>
      </x:c>
    </x:row>
    <x:row r="9" ht="90" customHeight="1">
      <x:c r="A9" s="10" t="str">
        <x:v>Kilmainham Hospital spending</x:v>
      </x:c>
      <x:c r="B9" s="62" t="n">
        <x:f>ROUND('Government payments'!B6,-3)</x:f>
        <x:v>6000</x:v>
      </x:c>
      <x:c r="C9" s="10" t="str">
        <x:v>Partial spending proxy</x:v>
      </x:c>
      <x:c r="D9" s="10" t="str">
        <x:v>Government payments B6. Assume local receipts outside Irish-services fiscal total; pending reconciliation. Institutional spending, not a separate household pension estimate.</x:v>
      </x:c>
    </x:row>
    <x:row r="10" ht="65" customHeight="1">
      <x:c r="A10" s="10" t="str">
        <x:v>Seasonal workers</x:v>
      </x:c>
      <x:c r="B10" s="62" t="n">
        <x:f>'Account'!B13</x:f>
        <x:v>250000</x:v>
      </x:c>
      <x:c r="C10" s="10" t="str">
        <x:v>Agreed estimate</x:v>
      </x:c>
      <x:c r="D10" s="10" t="str">
        <x:v>£250,000 rounded net earnings brought home; Account B13.</x:v>
      </x:c>
    </x:row>
    <x:row r="11" ht="65" customHeight="1">
      <x:c r="A11" s="10" t="str">
        <x:v>Other overseas securities income</x:v>
      </x:c>
      <x:c r="B11" s="62" t="n">
        <x:f>'Account'!B14</x:f>
        <x:v>2000000</x:v>
      </x:c>
      <x:c r="C11" s="10" t="str">
        <x:v>Accepted provisional model</x:v>
      </x:c>
      <x:c r="D11" s="10" t="str">
        <x:v>Accepted estate-model scenario; external institutional earnings remain incomplete. Oldham is not independent validation. See Method rows36–40.</x:v>
      </x:c>
    </x:row>
    <x:row r="12" ht="65" customHeight="1">
      <x:c r="A12" s="10" t="str">
        <x:v>UK public debt: household income</x:v>
      </x:c>
      <x:c r="B12" s="62" t="n">
        <x:f>'Account'!B16</x:f>
        <x:v>200000</x:v>
      </x:c>
      <x:c r="C12" s="10" t="str">
        <x:v>Accepted provisional model</x:v>
      </x:c>
      <x:c r="D12" s="10" t="str">
        <x:v>Account B16: £200,000 from estate model.</x:v>
      </x:c>
    </x:row>
    <x:row r="13" ht="90" customHeight="1">
      <x:c r="A13" s="10" t="str">
        <x:v>Bank of Ireland: UK debt interest</x:v>
      </x:c>
      <x:c r="B13" s="62" t="n">
        <x:f>ROUND('Government payments'!B8,-4)</x:f>
        <x:v>70000</x:v>
      </x:c>
      <x:c r="C13" s="10" t="str">
        <x:v>Contractual proxy</x:v>
      </x:c>
      <x:c r="D13" s="10" t="str">
        <x:v>Government payments B8, rounded to £10,000. Treat as institutional receipt additional to household direct UK debt holdings; verify 1901 receipt. Do not also classify Irish bank shares as external holdings.</x:v>
      </x:c>
    </x:row>
    <x:row r="14" ht="65" customHeight="1">
      <x:c r="A14" s="10" t="str">
        <x:v>Absentee rents</x:v>
      </x:c>
      <x:c r="B14" s="62" t="n">
        <x:f>'Account'!B15</x:f>
        <x:v>-5000000</x:v>
      </x:c>
      <x:c r="C14" s="10" t="str">
        <x:v>Selected 1895 proxy</x:v>
      </x:c>
      <x:c r="D14" s="10" t="str">
        <x:v>Account B15: £5m; older £3.46m retained in sensitivity.</x:v>
      </x:c>
    </x:row>
    <x:row r="15" ht="90" customHeight="1">
      <x:c r="A15" s="10" t="str">
        <x:v>Additional mortgage interest</x:v>
      </x:c>
      <x:c r="B15" s="62" t="str">
        <x:v>See Sandbox</x:v>
      </x:c>
      <x:c r="C15" s="10" t="str">
        <x:v>Unresolved overlap</x:v>
      </x:c>
      <x:c r="D15" s="10" t="str">
        <x:v>£630,000 historical interest is available, but its addition to rents is unmeasured. Scenario experiments are on Sandbox and do not feed this subtotal.</x:v>
      </x:c>
    </x:row>
    <x:row r="16" ht="65" customHeight="1">
      <x:c r="A16" s="10" t="str">
        <x:v>Emigrant remittances</x:v>
      </x:c>
      <x:c r="B16" s="62" t="n">
        <x:f>'Account'!B18</x:f>
        <x:v>2054864.8926333094</x:v>
      </x:c>
      <x:c r="C16" s="10" t="str">
        <x:v>Agreed proxy</x:v>
      </x:c>
      <x:c r="D16" s="10" t="str">
        <x:v>Account B18: US estimate adopted, with no extra bank/postal addition.</x:v>
      </x:c>
    </x:row>
    <x:row r="17" ht="65" customHeight="1">
      <x:c r="A17" s="10" t="str">
        <x:v>Shipping / passenger transport</x:v>
      </x:c>
      <x:c r="B17" s="62" t="str">
        <x:v>Not yet estimated</x:v>
      </x:c>
      <x:c r="C17" s="10" t="str">
        <x:v>No usable estimate yet</x:v>
      </x:c>
      <x:c r="D17" s="10" t="str">
        <x:v>Needs resident carrier receipts and payments plus trade valuation reconciliation.</x:v>
      </x:c>
    </x:row>
    <x:row r="18" ht="65" customHeight="1">
      <x:c r="A18" s="10" t="str">
        <x:v>Insurance / other business services</x:v>
      </x:c>
      <x:c r="B18" s="62" t="str">
        <x:v>Not yet estimated</x:v>
      </x:c>
      <x:c r="C18" s="10" t="str">
        <x:v>No usable estimate yet</x:v>
      </x:c>
      <x:c r="D18" s="10" t="str">
        <x:v>Premiums are not equivalent to service charges.</x:v>
      </x:c>
    </x:row>
    <x:row r="19" ht="65" customHeight="1">
      <x:c r="A19" s="10" t="str">
        <x:v>Tourism / travel</x:v>
      </x:c>
      <x:c r="B19" s="62" t="str">
        <x:v>Not yet estimated</x:v>
      </x:c>
      <x:c r="C19" s="10" t="str">
        <x:v>No usable estimate yet</x:v>
      </x:c>
      <x:c r="D19" s="10" t="str">
        <x:v>Both directions; avoid worker-expense duplication.</x:v>
      </x:c>
    </x:row>
    <x:row r="20" ht="65" customHeight="1">
      <x:c r="A20" s="10" t="str">
        <x:v>Other company-profit outflows</x:v>
      </x:c>
      <x:c r="B20" s="62" t="str">
        <x:v>Not yet estimated</x:v>
      </x:c>
      <x:c r="C20" s="10" t="str">
        <x:v>No usable estimate yet</x:v>
      </x:c>
      <x:c r="D20" s="10" t="str">
        <x:v>Includes Guinness ownership question; distinct from absentee rent.</x:v>
      </x:c>
    </x:row>
    <x:row r="21" ht="65" customHeight="1">
      <x:c r="A21" s="10" t="str">
        <x:v>Additional external pensions</x:v>
      </x:c>
      <x:c r="B21" s="62" t="str">
        <x:v>Not yet estimated</x:v>
      </x:c>
      <x:c r="C21" s="10" t="str">
        <x:v>No usable estimate yet</x:v>
      </x:c>
      <x:c r="D21" s="10" t="str">
        <x:v>Superannuation already in fiscal residual; hospital proxy separately above.</x:v>
      </x:c>
    </x:row>
    <x:row r="22" ht="65" customHeight="1">
      <x:c r="A22" s="10" t="str">
        <x:v>Other current transfers</x:v>
      </x:c>
      <x:c r="B22" s="62" t="str">
        <x:v>Not yet estimated</x:v>
      </x:c>
      <x:c r="C22" s="10" t="str">
        <x:v>No usable estimate yet</x:v>
      </x:c>
      <x:c r="D22" s="10" t="str">
        <x:v>No quantitative basis yet.</x:v>
      </x:c>
    </x:row>
    <x:row r="23" ht="65" customHeight="1">
      <x:c r="A23" s="10"/>
      <x:c r="B23" s="62"/>
      <x:c r="C23" s="10"/>
      <x:c r="D23" s="10"/>
    </x:row>
    <x:row r="24" ht="65" customHeight="1">
      <x:c r="A24" s="10" t="str">
        <x:v>Working subtotal, estimated items</x:v>
      </x:c>
      <x:c r="B24" s="62" t="n">
        <x:f>SUM(B6:B22)</x:f>
        <x:v>-6614872.10736669</x:v>
      </x:c>
      <x:c r="C24" s="10" t="str">
        <x:v>Incomplete account</x:v>
      </x:c>
      <x:c r="D24" s="10" t="str">
        <x:v>Text entries above are omitted from the sum, not assumed to be measured zero.</x:v>
      </x:c>
    </x:row>
    <x:row r="25" ht="65" customHeight="1">
      <x:c r="A25" s="22" t="str">
        <x:v>Reported subtotal, rounded</x:v>
      </x:c>
      <x:c r="B25" s="63" t="n">
        <x:f>ROUND(B24,-5)</x:f>
        <x:v>-6600000</x:v>
      </x:c>
      <x:c r="C25" s="22" t="str">
        <x:v>Nearest £100,000</x:v>
      </x:c>
      <x:c r="D25" s="22" t="str">
        <x:v>Use this rounded result in discussion; underlying cells preserve calculations.</x:v>
      </x:c>
    </x:row>
    <x:row r="26" ht="65" customHeight="1">
      <x:c r="A26" s="10"/>
      <x:c r="B26" s="10"/>
      <x:c r="C26" s="10"/>
      <x:c r="D26" s="10"/>
    </x:row>
    <x:row r="27" ht="65" customHeight="1">
      <x:c r="A27" s="10"/>
      <x:c r="B27" s="10"/>
      <x:c r="C27" s="10"/>
      <x:c r="D27" s="10"/>
    </x:row>
    <x:row r="28" ht="80" customHeight="1">
      <x:c r="A28" s="7" t="str">
        <x:v>Experiment separately</x:v>
      </x:c>
      <x:c r="B28" s="7"/>
      <x:c r="C28" s="7"/>
      <x:c r="D28" s="7" t="str">
        <x:v>Use the Sandbox tab to change rents and mortgage assumptions. Sandbox changes never alter this working account. This account retains the previously accepted provisional income scenario and partial spending proxies.</x:v>
      </x:c>
    </x:row>
    <x:row r="29" ht="90" customHeight="1">
      <x:c r="A29" s="10"/>
      <x:c r="B29" s="58"/>
      <x:c r="C29" s="10"/>
      <x:c r="D29" s="10"/>
    </x:row>
    <x:row r="30" ht="65" customHeight="1">
      <x:c r="A30" s="10"/>
      <x:c r="B30" s="10"/>
      <x:c r="C30" s="10"/>
      <x:c r="D30" s="10"/>
    </x:row>
    <x:row r="31" ht="65" customHeight="1">
      <x:c r="A31" s="10"/>
      <x:c r="B31" s="10"/>
      <x:c r="C31" s="10"/>
      <x:c r="D31" s="10"/>
    </x:row>
    <x:row r="32" ht="65" customHeight="1">
      <x:c r="A32" s="7"/>
      <x:c r="B32" s="7"/>
      <x:c r="C32" s="7"/>
      <x:c r="D32" s="7"/>
    </x:row>
    <x:row r="33" ht="65" customHeight="1">
      <x:c r="A33" s="10"/>
      <x:c r="B33" s="62"/>
      <x:c r="C33" s="10"/>
      <x:c r="D33" s="10"/>
    </x:row>
    <x:row r="34" ht="65" customHeight="1">
      <x:c r="A34" s="10"/>
      <x:c r="B34" s="62"/>
      <x:c r="C34" s="10"/>
      <x:c r="D34" s="10"/>
    </x:row>
    <x:row r="35" ht="65" customHeight="1">
      <x:c r="A35" s="10"/>
      <x:c r="B35" s="62"/>
      <x:c r="C35" s="10"/>
      <x:c r="D35" s="10"/>
    </x:row>
    <x:row r="36" ht="65" customHeight="1">
      <x:c r="A36" s="10"/>
      <x:c r="B36" s="62"/>
      <x:c r="C36" s="10"/>
      <x:c r="D36" s="10"/>
    </x:row>
    <x:row r="37" ht="65" customHeight="1">
      <x:c r="A37" s="10"/>
      <x:c r="B37" s="10"/>
      <x:c r="C37" s="10"/>
      <x:c r="D37" s="10"/>
    </x:row>
    <x:row r="38" ht="65" customHeight="1">
      <x:c r="A38" s="10"/>
      <x:c r="B38" s="10"/>
      <x:c r="C38" s="10"/>
      <x:c r="D38" s="10"/>
    </x:row>
    <x:row r="39" ht="90" customHeight="1">
      <x:c r="A39" s="10"/>
      <x:c r="B39" s="10"/>
      <x:c r="C39" s="10"/>
      <x:c r="D39" s="10"/>
    </x:row>
    <x:row r="40" ht="90" customHeight="1">
      <x:c r="A40" s="10"/>
      <x:c r="B40" s="10"/>
      <x:c r="C40" s="10"/>
      <x:c r="D40" s="10"/>
    </x:row>
    <x:row r="41" ht="23" customHeight="1">
      <x:c r="A41" s="2"/>
      <x:c r="B41" s="2"/>
      <x:c r="C41" s="2"/>
      <x:c r="D41" s="2"/>
    </x:row>
    <x:row r="42" ht="23" customHeight="1">
      <x:c r="A42" s="2"/>
      <x:c r="B42" s="2"/>
      <x:c r="C42" s="2"/>
      <x:c r="D42" s="2"/>
    </x:row>
    <x:row r="43" ht="23" customHeight="1">
      <x:c r="A43" s="2"/>
      <x:c r="B43" s="2"/>
      <x:c r="C43" s="2"/>
      <x:c r="D43" s="2"/>
    </x:row>
    <x:row r="44" ht="23" customHeight="1">
      <x:c r="A44" s="2"/>
      <x:c r="B44" s="2"/>
      <x:c r="C44" s="2"/>
      <x:c r="D44" s="2"/>
    </x:row>
    <x:row r="45" ht="23" customHeight="1">
      <x:c r="A45" s="2"/>
      <x:c r="B45" s="2"/>
      <x:c r="C45" s="2"/>
      <x:c r="D45" s="2"/>
    </x:row>
    <x:row r="46" ht="23" customHeight="1">
      <x:c r="A46" s="2"/>
      <x:c r="B46" s="2"/>
      <x:c r="C46" s="2"/>
      <x:c r="D46" s="2"/>
    </x:row>
    <x:row r="47" ht="23" customHeight="1">
      <x:c r="A47" s="2"/>
      <x:c r="B47" s="2"/>
      <x:c r="C47" s="2"/>
      <x:c r="D47" s="2"/>
    </x:row>
    <x:row r="48" ht="23" customHeight="1">
      <x:c r="A48" s="2"/>
      <x:c r="B48" s="2"/>
      <x:c r="C48" s="2"/>
      <x:c r="D48" s="2"/>
    </x:row>
  </x:sheetData>
  <x:mergeCells>
    <x:mergeCell ref="A3:D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9" hidden="0" customWidth="1"/>
    <x:col min="2" max="2" width="24" hidden="0" customWidth="1"/>
    <x:col min="3" max="3" width="88" hidden="0" customWidth="1"/>
  </x:cols>
  <x:sheetData>
    <x:row r="1" ht="23" customHeight="1">
      <x:c r="A1" s="2"/>
      <x:c r="B1" s="2"/>
      <x:c r="C1" s="2"/>
    </x:row>
    <x:row r="2" ht="23" customHeight="1">
      <x:c r="A2" s="3" t="str">
        <x:v>Sandbox: test assumptions without adopting them</x:v>
      </x:c>
      <x:c r="B2" s="2"/>
      <x:c r="C2" s="2"/>
    </x:row>
    <x:row r="3" ht="40" customHeight="1">
      <x:c r="A3" s="60" t="str">
        <x:v>Experiments only. Yellow cells are editable; results do not feed either account.</x:v>
      </x:c>
      <x:c r="B3" s="60"/>
      <x:c r="C3" s="60"/>
    </x:row>
    <x:row r="4" ht="23" customHeight="1">
      <x:c r="A4" s="2"/>
      <x:c r="B4" s="2"/>
      <x:c r="C4" s="2"/>
    </x:row>
    <x:row r="5" ht="72" customHeight="1">
      <x:c r="A5" s="7" t="str">
        <x:v>Starting point</x:v>
      </x:c>
      <x:c r="B5" s="7" t="str">
        <x:v>£</x:v>
      </x:c>
      <x:c r="C5" s="7" t="str">
        <x:v>Meaning</x:v>
      </x:c>
    </x:row>
    <x:row r="6" ht="72" customHeight="1">
      <x:c r="A6" s="10" t="str">
        <x:v>Estimated account before mortgage addition</x:v>
      </x:c>
      <x:c r="B6" s="62" t="n">
        <x:f>'Estimated account'!B24</x:f>
        <x:v>-6614872.10736669</x:v>
      </x:c>
      <x:c r="C6" s="10" t="str">
        <x:v>Includes selected £5m rents and existing provisional receipts. Missing components remain omitted; this is not a complete current account.</x:v>
      </x:c>
    </x:row>
    <x:row r="7" ht="72" customHeight="1">
      <x:c r="A7" s="10" t="str">
        <x:v>Rent in estimated account</x:v>
      </x:c>
      <x:c r="B7" s="62" t="n">
        <x:f>-'Estimated account'!B14</x:f>
        <x:v>5000000</x:v>
      </x:c>
      <x:c r="C7" s="10" t="str">
        <x:v>Positive amount deducted in the working account.</x:v>
      </x:c>
    </x:row>
    <x:row r="8" ht="72" customHeight="1">
      <x:c r="A8" s="10"/>
      <x:c r="B8" s="10"/>
      <x:c r="C8" s="10"/>
    </x:row>
    <x:row r="9" ht="72" customHeight="1">
      <x:c r="A9" s="7" t="str">
        <x:v>Editable scenario input</x:v>
      </x:c>
      <x:c r="B9" s="7" t="str">
        <x:v>Value</x:v>
      </x:c>
      <x:c r="C9" s="7" t="str">
        <x:v>Basis / interpretation</x:v>
      </x:c>
    </x:row>
    <x:row r="10" ht="72" customHeight="1">
      <x:c r="A10" s="10" t="str">
        <x:v>Absentee rents to test</x:v>
      </x:c>
      <x:c r="B10" s="65" t="n">
        <x:v>5000000</x:v>
      </x:c>
      <x:c r="C10" s="10" t="str">
        <x:v>Default is user-selected £5m. Older-evidence comparison £3,461,716. Positive outward amount.</x:v>
      </x:c>
    </x:row>
    <x:row r="11" ht="72" customHeight="1">
      <x:c r="A11" s="10" t="str">
        <x:v>Gross mortgage interest to test</x:v>
      </x:c>
      <x:c r="B11" s="65" t="n">
        <x:v>630000</x:v>
      </x:c>
      <x:c r="C11" s="10" t="str">
        <x:v>Historical £630,000 from Giffen’s 1886 principal estimate at 4½%, cited by O’Brien in 1895. Editable to explore changes by 1901; not a measured 1901 amount.</x:v>
      </x:c>
    </x:row>
    <x:row r="12" ht="90" customHeight="1">
      <x:c r="A12" s="10" t="str">
        <x:v>Share overlapping absentee rents</x:v>
      </x:c>
      <x:c r="B12" s="58" t="n">
        <x:v>0</x:v>
      </x:c>
      <x:c r="C12" s="10" t="str">
        <x:v>Enter 0%–100%. No source establishes a share. Default 0% is the no-overlap test endpoint, NOT an estimate or recommendation.</x:v>
      </x:c>
    </x:row>
    <x:row r="13" ht="90" customHeight="1">
      <x:c r="A13" s="10" t="str">
        <x:v>Additional other net flows to test</x:v>
      </x:c>
      <x:c r="B13" s="65" t="n">
        <x:v>0</x:v>
      </x:c>
      <x:c r="C13" s="10" t="str">
        <x:v>Optional signed adjustment for excluded components. Default 0 means no scenario adjustment; it does not assert missing flows are zero.</x:v>
      </x:c>
    </x:row>
    <x:row r="14" ht="72" customHeight="1">
      <x:c r="A14" s="10"/>
      <x:c r="B14" s="10"/>
      <x:c r="C14" s="10"/>
    </x:row>
    <x:row r="15" ht="72" customHeight="1">
      <x:c r="A15" s="10"/>
      <x:c r="B15" s="10"/>
      <x:c r="C15" s="10"/>
    </x:row>
    <x:row r="16" ht="72" customHeight="1">
      <x:c r="A16" s="7" t="str">
        <x:v>Calculated scenario</x:v>
      </x:c>
      <x:c r="B16" s="7" t="str">
        <x:v>£</x:v>
      </x:c>
      <x:c r="C16" s="7" t="str">
        <x:v>Interpretation</x:v>
      </x:c>
    </x:row>
    <x:row r="17" ht="72" customHeight="1">
      <x:c r="A17" s="10" t="str">
        <x:v>Additional mortgage outflow</x:v>
      </x:c>
      <x:c r="B17" s="62" t="n">
        <x:f>IF(AND(B12&gt;=0,B12&lt;=1),-B11*(1-B12),NA())</x:f>
        <x:v>-630000</x:v>
      </x:c>
      <x:c r="C17" s="10" t="str">
        <x:v>Gross tested interest × (1 − overlap share); negative sign indicates outflow.</x:v>
      </x:c>
    </x:row>
    <x:row r="18" ht="72" customHeight="1">
      <x:c r="A18" s="22" t="str">
        <x:v>Sandbox balance</x:v>
      </x:c>
      <x:c r="B18" s="63" t="n">
        <x:f>B6+B7-B10+B17+B13</x:f>
        <x:v>-7244872.10736669</x:v>
      </x:c>
      <x:c r="C18" s="22" t="str">
        <x:v>Starting subtotal + replacement of rent assumption + additional mortgage outflow + other tested flows. Incomplete, conditional result.</x:v>
      </x:c>
    </x:row>
    <x:row r="19" ht="72" customHeight="1">
      <x:c r="A19" s="10" t="str">
        <x:v>Change from working subtotal</x:v>
      </x:c>
      <x:c r="B19" s="62" t="n">
        <x:f>B18-B6</x:f>
        <x:v>-630000</x:v>
      </x:c>
      <x:c r="C19" s="10" t="str">
        <x:v>Difference caused by sandbox choices only.</x:v>
      </x:c>
    </x:row>
    <x:row r="20" ht="72" customHeight="1">
      <x:c r="A20" s="10"/>
      <x:c r="B20" s="10"/>
      <x:c r="C20" s="10"/>
    </x:row>
    <x:row r="21" ht="72" customHeight="1">
      <x:c r="A21" s="10"/>
      <x:c r="B21" s="10"/>
      <x:c r="C21" s="10"/>
    </x:row>
    <x:row r="22" ht="72" customHeight="1">
      <x:c r="A22" s="7" t="str">
        <x:v>Mortgage overlap comparison</x:v>
      </x:c>
      <x:c r="B22" s="7" t="str">
        <x:v>Sandbox balance £</x:v>
      </x:c>
      <x:c r="C22" s="7" t="str">
        <x:v>Uses current tested rents, gross interest and other flows; no probability weights.</x:v>
      </x:c>
    </x:row>
    <x:row r="23" ht="72" customHeight="1">
      <x:c r="A23" s="10" t="str">
        <x:v>0% overlap</x:v>
      </x:c>
      <x:c r="B23" s="62" t="n">
        <x:f>B6+B7-B10-B11+B13</x:f>
        <x:v>-7244872.10736669</x:v>
      </x:c>
      <x:c r="C23" s="10" t="str">
        <x:v>All tested gross mortgage interest is additional.</x:v>
      </x:c>
    </x:row>
    <x:row r="24" ht="72" customHeight="1">
      <x:c r="A24" s="10" t="str">
        <x:v>50% overlap</x:v>
      </x:c>
      <x:c r="B24" s="62" t="n">
        <x:f>B6+B7-B10-B11*0.5+B13</x:f>
        <x:v>-6929872.10736669</x:v>
      </x:c>
      <x:c r="C24" s="10" t="str">
        <x:v>Arithmetic midpoint only; no historical source.</x:v>
      </x:c>
    </x:row>
    <x:row r="25" ht="72" customHeight="1">
      <x:c r="A25" s="10" t="str">
        <x:v>100% overlap</x:v>
      </x:c>
      <x:c r="B25" s="62" t="n">
        <x:f>B6+B7-B10+B13</x:f>
        <x:v>-6614872.10736669</x:v>
      </x:c>
      <x:c r="C25" s="10" t="str">
        <x:v>No tested mortgage interest is additional.</x:v>
      </x:c>
    </x:row>
    <x:row r="26" ht="72" customHeight="1">
      <x:c r="A26" s="10"/>
      <x:c r="B26" s="10"/>
      <x:c r="C26" s="10"/>
    </x:row>
    <x:row r="27" ht="72" customHeight="1">
      <x:c r="A27" s="10"/>
      <x:c r="B27" s="10"/>
      <x:c r="C27" s="10"/>
    </x:row>
    <x:row r="28" ht="72" customHeight="1">
      <x:c r="A28" s="10" t="str">
        <x:v>Historical source</x:v>
      </x:c>
      <x:c r="B28" s="10"/>
      <x:c r="C28" s="10" t="str">
        <x:v>Outward property income B10:B12; O’Brien memorandum, Appendix III, printed p.196 / PDF p.436, BPP_1896-073783_financial relations.pdf. The overlap shares and scenario adjustments are not sourced.</x:v>
      </x:c>
    </x:row>
    <x:row r="29" ht="72" customHeight="1">
      <x:c r="A29" s="10" t="str">
        <x:v>How to adopt a result</x:v>
      </x:c>
      <x:c r="B29" s="10"/>
      <x:c r="C29" s="10" t="str">
        <x:v>Agree a working assumption explicitly before transferring it to Estimated account. Changing yellow cells here does not adopt it.</x:v>
      </x:c>
    </x:row>
    <x:row r="30" ht="23" customHeight="1">
      <x:c r="A30" s="2"/>
      <x:c r="B30" s="2"/>
      <x:c r="C30" s="2"/>
    </x:row>
    <x:row r="31" ht="23" customHeight="1">
      <x:c r="A31" s="2"/>
      <x:c r="B31" s="2"/>
      <x:c r="C31" s="2"/>
    </x:row>
    <x:row r="32" ht="74" customHeight="1">
      <x:c r="A32" s="7" t="str">
        <x:v>Ó Gráda remittance comparison</x:v>
      </x:c>
      <x:c r="B32" s="7" t="str">
        <x:v>£</x:v>
      </x:c>
      <x:c r="C32" s="7" t="str">
        <x:v>Separate substitution in the opening account; ignores mortgage/rent experiments above.</x:v>
      </x:c>
    </x:row>
    <x:row r="33" ht="74" customHeight="1">
      <x:c r="A33" s="10" t="str">
        <x:v>All-source remittances to test</x:v>
      </x:c>
      <x:c r="B33" s="65" t="n">
        <x:v>3000000</x:v>
      </x:c>
      <x:c r="C33" s="10" t="str">
        <x:v>Ó Gráda (1994), ch.9, pp.228–229: assumed annual pre-WWI inflow, not a measured 1901 total.</x:v>
      </x:c>
    </x:row>
    <x:row r="34" ht="74" customHeight="1">
      <x:c r="A34" s="10" t="str">
        <x:v>Adopted remittances</x:v>
      </x:c>
      <x:c r="B34" s="62" t="n">
        <x:f>'Account'!B18</x:f>
        <x:v>2054864.8926333094</x:v>
      </x:c>
      <x:c r="C34" s="10" t="str">
        <x:v>Existing US-based proxy; replace this amount, do not add the alternative on top.</x:v>
      </x:c>
    </x:row>
    <x:row r="35" ht="74" customHeight="1">
      <x:c r="A35" s="10" t="str">
        <x:v>Change in receipts</x:v>
      </x:c>
      <x:c r="B35" s="62" t="n">
        <x:f>B33-B34</x:f>
        <x:v>945135.1073666906</x:v>
      </x:c>
      <x:c r="C35" s="10" t="str">
        <x:v>Alternative less adopted remittances.</x:v>
      </x:c>
    </x:row>
    <x:row r="36" ht="74" customHeight="1">
      <x:c r="A36" s="69" t="str">
        <x:v>Balance with alternative</x:v>
      </x:c>
      <x:c r="B36" s="70" t="n">
        <x:f>'Estimated account'!B24+B35</x:f>
        <x:v>-5669737</x:v>
      </x:c>
      <x:c r="C36" s="69" t="str">
        <x:v>Opening estimated account plus change in remittances; other adopted components fixed.</x:v>
      </x:c>
    </x:row>
    <x:row r="37" ht="74" customHeight="1">
      <x:c r="A37" s="48" t="str">
        <x:v>Income and transfers less rents</x:v>
      </x:c>
      <x:c r="B37" s="66" t="n">
        <x:f>'Estimated account'!B11+'Estimated account'!B12+'Estimated account'!B10+B33+'Estimated account'!B14</x:f>
        <x:v>450000</x:v>
      </x:c>
      <x:c r="C37" s="48" t="str">
        <x:v>All securities income + seasonal earnings + tested remittances − adopted rents. Includes household UK debt interest, shown as public in the website arrows.</x:v>
      </x:c>
    </x:row>
    <x:row r="38" ht="74" customHeight="1">
      <x:c r="A38" s="48" t="str">
        <x:v>Private flow in website arrows</x:v>
      </x:c>
      <x:c r="B38" s="66" t="n">
        <x:f>B37-'Estimated account'!B12</x:f>
        <x:v>250000</x:v>
      </x:c>
      <x:c r="C38" s="48" t="str">
        <x:v>Previous row less household UK debt interest. Other opening settings held fixed.</x:v>
      </x:c>
    </x:row>
  </x:sheetData>
  <x:mergeCells>
    <x:mergeCell ref="A3:C3"/>
  </x:mergeCells>
  <x:pageMargins left="0.7" right="0.7" top="0.75" bottom="0.75" header="0.3" footer="0.3"/>
</x:worksheet>
</file>

<file path=xl/worksheets/sheet3.xml><?xml version="1.0" encoding="utf-8"?>
<x:worksheet xmlns:x="http://schemas.openxmlformats.org/spreadsheetml/2006/main">
  <x:sheetPr>
    <x:tabColor rgb="FF304B63"/>
  </x:sheetPr>
  <x:sheetViews>
    <x:sheetView showGridLines="0" workbookViewId="0"/>
  </x:sheetViews>
  <x:sheetFormatPr defaultRowHeight="15"/>
  <x:cols>
    <x:col min="1" max="1" width="40" hidden="0" customWidth="1"/>
    <x:col min="2" max="2" width="19" hidden="0" customWidth="1"/>
    <x:col min="3" max="3" width="23" hidden="0" customWidth="1"/>
    <x:col min="4" max="4" width="36" hidden="0" customWidth="1"/>
    <x:col min="5" max="5" width="5" hidden="0" customWidth="1"/>
    <x:col min="6" max="6" width="83" hidden="0" customWidth="1"/>
  </x:cols>
  <x:sheetData>
    <x:row r="1" ht="23" customHeight="1">
      <x:c r="A1" s="2"/>
      <x:c r="B1" s="2"/>
      <x:c r="C1" s="2"/>
      <x:c r="D1" s="2"/>
      <x:c r="E1" s="2"/>
      <x:c r="F1" s="2"/>
    </x:row>
    <x:row r="2" ht="23" customHeight="1">
      <x:c r="A2" s="3" t="str">
        <x:v>Ireland balance of payments, circa 1901</x:v>
      </x:c>
      <x:c r="B2" s="2"/>
      <x:c r="C2" s="2"/>
      <x:c r="D2" s="2"/>
      <x:c r="E2" s="2"/>
      <x:c r="F2" s="2"/>
    </x:row>
    <x:row r="3" ht="23" customHeight="1">
      <x:c r="A3" s="4"/>
      <x:c r="B3" s="4"/>
      <x:c r="C3" s="4"/>
      <x:c r="D3" s="4"/>
      <x:c r="E3" s="4"/>
      <x:c r="F3" s="4"/>
    </x:row>
    <x:row r="4" ht="23" customHeight="1">
      <x:c r="A4" s="2" t="str">
        <x:v>All-island Ireland. Sterling. Credits positive; debits negative. First research assembly, 11 October 2026.</x:v>
      </x:c>
      <x:c r="B4" s="2"/>
      <x:c r="C4" s="2"/>
      <x:c r="D4" s="2"/>
      <x:c r="E4" s="2"/>
      <x:c r="F4" s="2"/>
    </x:row>
    <x:row r="5" ht="23" customHeight="1">
      <x:c r="A5" s="2"/>
      <x:c r="B5" s="2"/>
      <x:c r="C5" s="2"/>
      <x:c r="D5" s="2"/>
      <x:c r="E5" s="2"/>
      <x:c r="F5" s="2"/>
    </x:row>
    <x:row r="6" ht="30" customHeight="1">
      <x:c r="A6" s="7" t="str">
        <x:v>Component</x:v>
      </x:c>
      <x:c r="B6" s="7" t="str">
        <x:v>1901 net £</x:v>
      </x:c>
      <x:c r="C6" s="7" t="str">
        <x:v>Evidence period</x:v>
      </x:c>
      <x:c r="D6" s="7" t="str">
        <x:v>Status</x:v>
      </x:c>
      <x:c r="E6" s="2"/>
      <x:c r="F6" s="2" t="str">
        <x:v>Required work / accounting treatment</x:v>
      </x:c>
    </x:row>
    <x:row r="7" ht="50" customHeight="1">
      <x:c r="A7" s="2" t="str">
        <x:v>Merchandise trade</x:v>
      </x:c>
      <x:c r="B7" s="8" t="n">
        <x:f>'Trade'!B17</x:f>
        <x:v>-4096737</x:v>
      </x:c>
      <x:c r="C7" s="10" t="str">
        <x:v>1904 used for 1901</x:v>
      </x:c>
      <x:c r="D7" s="10" t="str">
        <x:v>Provisional 1904 proxy</x:v>
      </x:c>
      <x:c r="E7" s="2"/>
      <x:c r="F7" s="10" t="str">
        <x:v>1904 exports and imports adopted unchanged for 1901 by agreement. Trade schedule preserves source-year and vintage differences.</x:v>
      </x:c>
    </x:row>
    <x:row r="8" ht="50" customHeight="1">
      <x:c r="A8" s="2" t="str">
        <x:v>Fiscal residual before adjustments</x:v>
      </x:c>
      <x:c r="B8" s="8" t="n">
        <x:f>-'Fiscal comparison'!B7</x:f>
        <x:v>-2199000</x:v>
      </x:c>
      <x:c r="C8" s="10" t="str">
        <x:v>1900–01</x:v>
      </x:c>
      <x:c r="D8" s="10" t="str">
        <x:v>Provisional accounting subtotal</x:v>
      </x:c>
      <x:c r="E8" s="2"/>
      <x:c r="F8" s="10" t="str">
        <x:v>Irish services less attributed revenue. Do not subtract Imperial contribution again.</x:v>
      </x:c>
    </x:row>
    <x:row r="9" ht="50" customHeight="1">
      <x:c r="A9" s="2" t="str">
        <x:v>Government-payment adjustments</x:v>
      </x:c>
      <x:c r="B9" s="24"/>
      <x:c r="C9" s="10" t="str">
        <x:v>1901 needed</x:v>
      </x:c>
      <x:c r="D9" s="10" t="str">
        <x:v>Partial evidence: Government payments tab</x:v>
      </x:c>
      <x:c r="E9" s="2"/>
      <x:c r="F9" s="10" t="str">
        <x:v>Add receipts omitted from Irish services; remove nonresident receipts and duplicated trade. Excludes debt interest and pensions below.</x:v>
      </x:c>
    </x:row>
    <x:row r="10" ht="50" customHeight="1">
      <x:c r="A10" s="2" t="str">
        <x:v>Freight and passenger transport</x:v>
      </x:c>
      <x:c r="B10" s="24"/>
      <x:c r="C10" s="10" t="str">
        <x:v>1901 needed</x:v>
      </x:c>
      <x:c r="D10" s="10" t="str">
        <x:v>Unmeasured</x:v>
      </x:c>
      <x:c r="E10" s="2"/>
      <x:c r="F10" s="10" t="str">
        <x:v>Resident carriers’ exports less nonresident carriers’ services; reconcile import valuation.</x:v>
      </x:c>
    </x:row>
    <x:row r="11" ht="50" customHeight="1">
      <x:c r="A11" s="2" t="str">
        <x:v>Insurance and other business services</x:v>
      </x:c>
      <x:c r="B11" s="24"/>
      <x:c r="C11" s="10" t="str">
        <x:v>1901 needed</x:v>
      </x:c>
      <x:c r="D11" s="10" t="str">
        <x:v>Unmeasured</x:v>
      </x:c>
      <x:c r="E11" s="2"/>
      <x:c r="F11" s="10" t="str">
        <x:v>Identify cross-border service charges. Premiums alone are not the service value.</x:v>
      </x:c>
    </x:row>
    <x:row r="12" ht="50" customHeight="1">
      <x:c r="A12" s="2" t="str">
        <x:v>Tourism and travel, net</x:v>
      </x:c>
      <x:c r="B12" s="24"/>
      <x:c r="C12" s="10" t="str">
        <x:v>1901 needed</x:v>
      </x:c>
      <x:c r="D12" s="10" t="str">
        <x:v>Unmeasured</x:v>
      </x:c>
      <x:c r="E12" s="2"/>
      <x:c r="F12" s="10" t="str">
        <x:v>Include residents’ spending abroad, including temporary absentees; exclude worker expenses included in a net earnings proxy.</x:v>
      </x:c>
    </x:row>
    <x:row r="13" ht="50" customHeight="1">
      <x:c r="A13" s="2" t="str">
        <x:v>Seasonal workers’ net earnings</x:v>
      </x:c>
      <x:c r="B13" s="42" t="n">
        <x:v>250000</x:v>
      </x:c>
      <x:c r="C13" s="10" t="str">
        <x:v>c.1901</x:v>
      </x:c>
      <x:c r="D13" s="10" t="str">
        <x:v>Adopted rounded estimate</x:v>
      </x:c>
      <x:c r="E13" s="2"/>
      <x:c r="F13" s="10" t="str">
        <x:v>User-adopted all-Ireland working estimate: £250,000 net earnings brought home. Migratory labourers report for 1901 and earlier regional evidence; rounding is deliberate. Do not add gross earnings without deducting overseas expenses.</x:v>
      </x:c>
    </x:row>
    <x:row r="14" ht="50" customHeight="1">
      <x:c r="A14" s="2" t="str">
        <x:v>Other overseas securities income received</x:v>
      </x:c>
      <x:c r="B14" s="24" t="n">
        <x:f>ROUND(SUM('Estate income model'!B30:B31),-5)</x:f>
        <x:v>2000000</x:v>
      </x:c>
      <x:c r="C14" s="10" t="str">
        <x:v>1901–02 estates / 1901 model</x:v>
      </x:c>
      <x:c r="D14" s="10" t="str">
        <x:v>Provisional working scenario</x:v>
      </x:c>
      <x:c r="E14" s="2"/>
      <x:c r="F14" s="10" t="str">
        <x:v>User accepts provisional scenario. Company securities plus foreign/colonial government securities, rounded to £100,000. 50% external company share and illustrative yields remain unverified. UK public debt is separately in row 16. No company-specific Guinness adjustment has been estimated.</x:v>
      </x:c>
    </x:row>
    <x:row r="15" ht="50" customHeight="1">
      <x:c r="A15" s="2" t="str">
        <x:v>Absentee rents paid overseas</x:v>
      </x:c>
      <x:c r="B15" s="24" t="n">
        <x:f>-'Outward property income'!B9</x:f>
        <x:v>-5000000</x:v>
      </x:c>
      <x:c r="C15" s="10" t="str">
        <x:v>1895 estimate used for 1901</x:v>
      </x:c>
      <x:c r="D15" s="10" t="str">
        <x:v>Provisional main estimate: £5m</x:v>
      </x:c>
      <x:c r="E15" s="2"/>
      <x:c r="F15" s="10" t="str">
        <x:v>User prioritises O’Brien’s £5m probable rental estimate presented in 1895. Retain £3.46m older-evidence alternative in Outward property income. No measured 1895–1901 adjustment; additional mortgage interest and company profits remain unmeasured, not zero.</x:v>
      </x:c>
    </x:row>
    <x:row r="16" ht="50" customHeight="1">
      <x:c r="A16" s="2" t="str">
        <x:v>UK public-debt interest received</x:v>
      </x:c>
      <x:c r="B16" s="24" t="n">
        <x:f>ROUND('Estate income model'!B29,-5)</x:f>
        <x:v>200000</x:v>
      </x:c>
      <x:c r="C16" s="10" t="str">
        <x:v>1901–02 estates / 1901 model</x:v>
      </x:c>
      <x:c r="D16" s="10" t="str">
        <x:v>Provisional household securities scenario</x:v>
      </x:c>
      <x:c r="E16" s="2"/>
      <x:c r="F16" s="10" t="str">
        <x:v>UK government securities income from estate model, rounded to £100,000; contributes to the £2.2m combined scenario. Bank of Ireland candidate not added: institutional coverage and overlap require reconciliation.</x:v>
      </x:c>
    </x:row>
    <x:row r="17" ht="50" customHeight="1">
      <x:c r="A17" s="2" t="str">
        <x:v>External pensions received</x:v>
      </x:c>
      <x:c r="B17" s="24"/>
      <x:c r="C17" s="10" t="str">
        <x:v>1901 needed</x:v>
      </x:c>
      <x:c r="D17" s="10" t="str">
        <x:v>Unmeasured</x:v>
      </x:c>
      <x:c r="E17" s="2"/>
      <x:c r="F17" s="10" t="str">
        <x:v>Include only amounts absent from Irish-services expenditure. Separate UK and other foreign pensions.</x:v>
      </x:c>
    </x:row>
    <x:row r="18" ht="50" customHeight="1">
      <x:c r="A18" s="2" t="str">
        <x:v>Emigrants’ remittances received</x:v>
      </x:c>
      <x:c r="B18" s="42" t="n">
        <x:f>'Evidence'!D33</x:f>
        <x:v>2054864.8926333094</x:v>
      </x:c>
      <x:c r="C18" s="10" t="str">
        <x:v>1906 used for 1901</x:v>
      </x:c>
      <x:c r="D18" s="10" t="str">
        <x:v>Adopted US-based proxy</x:v>
      </x:c>
      <x:c r="E18" s="2"/>
      <x:c r="F18" s="10" t="str">
        <x:v>User adopts E20 as working remittance receipts. US inflow, no additional GB uplift. Source bank and postal components are included, not added again.</x:v>
      </x:c>
    </x:row>
    <x:row r="19" ht="50" customHeight="1">
      <x:c r="A19" s="2" t="str">
        <x:v>Other current transfers, net</x:v>
      </x:c>
      <x:c r="B19" s="24"/>
      <x:c r="C19" s="10" t="str">
        <x:v>1901 needed</x:v>
      </x:c>
      <x:c r="D19" s="10" t="str">
        <x:v>Unmeasured</x:v>
      </x:c>
      <x:c r="E19" s="2"/>
      <x:c r="F19" s="10" t="str">
        <x:v>Charitable and other current transfers. Large inheritances may be capital transfers.</x:v>
      </x:c>
    </x:row>
    <x:row r="20" ht="23" customHeight="1">
      <x:c r="A20" s="2"/>
      <x:c r="B20" s="8"/>
      <x:c r="C20" s="10"/>
      <x:c r="D20" s="10"/>
      <x:c r="E20" s="2"/>
      <x:c r="F20" s="10"/>
    </x:row>
    <x:row r="21" ht="42" customHeight="1">
      <x:c r="A21" s="14" t="str">
        <x:v>Subtotal of entered components</x:v>
      </x:c>
      <x:c r="B21" s="15" t="n">
        <x:f>SUM(B7:B19)</x:f>
        <x:v>-6790872.10736669</x:v>
      </x:c>
      <x:c r="C21" s="22"/>
      <x:c r="D21" s="22" t="str">
        <x:v>Incomplete: not a current-account total</x:v>
      </x:c>
      <x:c r="E21" s="2"/>
      <x:c r="F21" s="10"/>
    </x:row>
    <x:row r="22" ht="42" customHeight="1">
      <x:c r="A22" s="14" t="str">
        <x:v>Current-account estimate</x:v>
      </x:c>
      <x:c r="B22" s="15" t="str">
        <x:f>IF(COUNT(B7:B19)=ROWS(B7:B19),SUM(B7:B19),"n.a.")</x:f>
        <x:v>n.a.</x:v>
      </x:c>
      <x:c r="C22" s="22"/>
      <x:c r="D22" s="22" t="str">
        <x:v>Unavailable until missing components are estimated</x:v>
      </x:c>
      <x:c r="E22" s="2"/>
      <x:c r="F22" s="10"/>
    </x:row>
    <x:row r="23" ht="23" customHeight="1">
      <x:c r="A23" s="2"/>
      <x:c r="B23" s="2"/>
      <x:c r="C23" s="2"/>
      <x:c r="D23" s="2"/>
      <x:c r="E23" s="2"/>
      <x:c r="F23" s="10"/>
    </x:row>
    <x:row r="24" ht="23" customHeight="1">
      <x:c r="A24" s="25" t="str">
        <x:v>Financing stays separate from the current-account reconstruction</x:v>
      </x:c>
      <x:c r="B24" s="2"/>
      <x:c r="C24" s="2"/>
      <x:c r="D24" s="2"/>
      <x:c r="E24" s="2"/>
      <x:c r="F24" s="10"/>
    </x:row>
    <x:row r="25" ht="42" customHeight="1">
      <x:c r="A25" s="2" t="str">
        <x:v>Capital transfers</x:v>
      </x:c>
      <x:c r="B25" s="2"/>
      <x:c r="C25" s="2"/>
      <x:c r="D25" s="2" t="str">
        <x:v>Not estimated</x:v>
      </x:c>
      <x:c r="E25" s="2"/>
      <x:c r="F25" s="10" t="str">
        <x:v>Research land-purchase financing, bank external balances, securities transactions and principal repayments. Changes in stocks require valuation adjustments.</x:v>
      </x:c>
    </x:row>
    <x:row r="26" ht="42" customHeight="1">
      <x:c r="A26" s="2" t="str">
        <x:v>Financial-account flows</x:v>
      </x:c>
      <x:c r="B26" s="2"/>
      <x:c r="C26" s="2"/>
      <x:c r="D26" s="2" t="str">
        <x:v>Not estimated</x:v>
      </x:c>
      <x:c r="E26" s="2"/>
      <x:c r="F26" s="10"/>
    </x:row>
    <x:row r="27" ht="42" customHeight="1">
      <x:c r="A27" s="2" t="str">
        <x:v>Specie / monetary movements</x:v>
      </x:c>
      <x:c r="B27" s="2"/>
      <x:c r="C27" s="2"/>
      <x:c r="D27" s="2" t="str">
        <x:v>Not estimated</x:v>
      </x:c>
      <x:c r="E27" s="2"/>
      <x:c r="F27" s="10" t="str">
        <x:v>Do not interpret the incomplete subtotal as a measured cash shipment, capital flight or economic loss.</x:v>
      </x:c>
    </x:row>
    <x:row r="28" ht="42" customHeight="1">
      <x:c r="A28" s="2" t="str">
        <x:v>Errors and omissions</x:v>
      </x:c>
      <x:c r="B28" s="2"/>
      <x:c r="C28" s="2"/>
      <x:c r="D28" s="2" t="str">
        <x:v>Not forced to balance</x:v>
      </x:c>
      <x:c r="E28" s="2"/>
      <x:c r="F28" s="10"/>
    </x:row>
    <x:row r="29" ht="42" customHeight="1">
      <x:c r="A29" s="2"/>
      <x:c r="B29" s="2"/>
      <x:c r="C29" s="2"/>
      <x:c r="D29" s="2"/>
      <x:c r="E29" s="2"/>
      <x:c r="F29" s="10"/>
    </x:row>
    <x:row r="30" ht="42" customHeight="1">
      <x:c r="A30" s="2"/>
      <x:c r="B30" s="2"/>
      <x:c r="C30" s="2"/>
      <x:c r="D30" s="2"/>
      <x:c r="E30" s="2"/>
      <x:c r="F30" s="10" t="str">
        <x:v>Amber cells are unfilled estimate inputs. Blank means unknown; enter zero only with an explicit justification and source. Keep evidence and adoption decisions in the supporting sheets.</x:v>
      </x:c>
    </x:row>
    <x:row r="31" ht="23" customHeight="1">
      <x:c r="A31" s="2"/>
      <x:c r="B31" s="2"/>
      <x:c r="C31" s="2"/>
      <x:c r="D31" s="2"/>
      <x:c r="E31" s="2"/>
      <x:c r="F31" s="2"/>
    </x:row>
    <x:row r="32" ht="23" customHeight="1">
      <x:c r="A32" s="2"/>
      <x:c r="B32" s="2"/>
      <x:c r="C32" s="2"/>
      <x:c r="D32" s="2"/>
      <x:c r="E32" s="2"/>
      <x:c r="F32" s="2"/>
    </x:row>
    <x:row r="33" ht="23" customHeight="1">
      <x:c r="A33" s="2"/>
      <x:c r="B33" s="2"/>
      <x:c r="C33" s="2"/>
      <x:c r="D33" s="2"/>
      <x:c r="E33" s="2"/>
      <x:c r="F33" s="2"/>
    </x:row>
    <x:row r="34" ht="23" customHeight="1">
      <x:c r="A34" s="2"/>
      <x:c r="B34" s="2"/>
      <x:c r="C34" s="2"/>
      <x:c r="D34" s="2"/>
      <x:c r="E34" s="2"/>
      <x:c r="F34" s="2"/>
    </x:row>
    <x:row r="35" ht="23" customHeight="1">
      <x:c r="A35" s="2"/>
      <x:c r="B35" s="2"/>
      <x:c r="C35" s="2"/>
      <x:c r="D35" s="2"/>
      <x:c r="E35" s="2"/>
      <x:c r="F35" s="2"/>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4" hidden="0" customWidth="1"/>
    <x:col min="2" max="2" width="19" hidden="0" customWidth="1"/>
    <x:col min="3" max="3" width="21" hidden="0" customWidth="1"/>
    <x:col min="4" max="4" width="19" hidden="0" customWidth="1"/>
    <x:col min="5" max="5" width="20" hidden="0" customWidth="1"/>
    <x:col min="6" max="6" width="20" hidden="0" customWidth="1"/>
    <x:col min="7" max="7" width="5" hidden="0" customWidth="1"/>
    <x:col min="8" max="8" width="82" hidden="0" customWidth="1"/>
  </x:cols>
  <x:sheetData>
    <x:row r="1" ht="23" customHeight="1">
      <x:c r="A1" s="2"/>
      <x:c r="B1" s="2"/>
      <x:c r="C1" s="2"/>
      <x:c r="D1" s="2"/>
      <x:c r="E1" s="2"/>
      <x:c r="F1" s="2"/>
      <x:c r="G1" s="2"/>
      <x:c r="H1" s="2"/>
    </x:row>
    <x:row r="2" ht="23" customHeight="1">
      <x:c r="A2" s="3" t="str">
        <x:v>Fiscal accounts and contribution benchmarks</x:v>
      </x:c>
      <x:c r="B2" s="2"/>
      <x:c r="C2" s="2"/>
      <x:c r="D2" s="2"/>
      <x:c r="E2" s="2"/>
      <x:c r="F2" s="2"/>
      <x:c r="G2" s="2"/>
      <x:c r="H2" s="2"/>
    </x:row>
    <x:row r="3" ht="23" customHeight="1">
      <x:c r="A3" s="4"/>
      <x:c r="B3" s="4"/>
      <x:c r="C3" s="4"/>
      <x:c r="D3" s="4"/>
      <x:c r="E3" s="4"/>
      <x:c r="F3" s="4"/>
      <x:c r="G3" s="4"/>
      <x:c r="H3" s="4"/>
    </x:row>
    <x:row r="4" ht="30" customHeight="1">
      <x:c r="A4" s="7" t="str">
        <x:v>Measure</x:v>
      </x:c>
      <x:c r="B4" s="7" t="str">
        <x:v>Ireland</x:v>
      </x:c>
      <x:c r="C4" s="7" t="str">
        <x:v>England &amp; Wales</x:v>
      </x:c>
      <x:c r="D4" s="7" t="str">
        <x:v>Scotland</x:v>
      </x:c>
      <x:c r="E4" s="7" t="str">
        <x:v>Great Britain</x:v>
      </x:c>
      <x:c r="F4" s="7" t="str">
        <x:v>UK</x:v>
      </x:c>
      <x:c r="G4" s="2"/>
      <x:c r="H4" s="2" t="str">
        <x:v>Fiscal year 1900–01; population and nominal GDP 1901</x:v>
      </x:c>
    </x:row>
    <x:row r="5" ht="23" customHeight="1">
      <x:c r="A5" s="2" t="str">
        <x:v>Revenue as contributed (£)</x:v>
      </x:c>
      <x:c r="B5" s="8" t="n">
        <x:f>'Evidence'!D5</x:f>
        <x:v>9505000</x:v>
      </x:c>
      <x:c r="C5" s="8" t="n">
        <x:f>'Evidence'!D9</x:f>
        <x:v>113244000</x:v>
      </x:c>
      <x:c r="D5" s="8" t="n">
        <x:f>'Evidence'!D11</x:f>
        <x:v>14919000</x:v>
      </x:c>
      <x:c r="E5" s="8" t="n">
        <x:f>SUM(C5:D5)</x:f>
        <x:v>128163000</x:v>
      </x:c>
      <x:c r="F5" s="8" t="n">
        <x:f>SUM(B5:D5)</x:f>
        <x:v>137668000</x:v>
      </x:c>
      <x:c r="G5" s="2"/>
      <x:c r="H5" s="2"/>
    </x:row>
    <x:row r="6" ht="48" customHeight="1">
      <x:c r="A6" s="2" t="str">
        <x:v>Domestic-services expenditure (£)</x:v>
      </x:c>
      <x:c r="B6" s="8" t="n">
        <x:f>SUM('Evidence'!D6:D7)</x:f>
        <x:v>7306000</x:v>
      </x:c>
      <x:c r="C6" s="8" t="n">
        <x:f>'Evidence'!D10</x:f>
        <x:v>34769000</x:v>
      </x:c>
      <x:c r="D6" s="8" t="n">
        <x:f>'Evidence'!D12</x:f>
        <x:v>4961000</x:v>
      </x:c>
      <x:c r="E6" s="8" t="n">
        <x:f>SUM(C6:D6)</x:f>
        <x:v>39730000</x:v>
      </x:c>
      <x:c r="F6" s="8" t="n">
        <x:f>SUM(B6:D6)</x:f>
        <x:v>47036000</x:v>
      </x:c>
      <x:c r="G6" s="2"/>
      <x:c r="H6" s="10" t="str">
        <x:v>The Imperial contribution is a residual, not an additional tax or direct measurement of external payments.</x:v>
      </x:c>
    </x:row>
    <x:row r="7" ht="23" customHeight="1">
      <x:c r="A7" s="14" t="str">
        <x:v>Imperial contribution (£)</x:v>
      </x:c>
      <x:c r="B7" s="15" t="n">
        <x:f>B5-B6</x:f>
        <x:v>2199000</x:v>
      </x:c>
      <x:c r="C7" s="15" t="n">
        <x:f>C5-C6</x:f>
        <x:v>78475000</x:v>
      </x:c>
      <x:c r="D7" s="15" t="n">
        <x:f>D5-D6</x:f>
        <x:v>9958000</x:v>
      </x:c>
      <x:c r="E7" s="15" t="n">
        <x:f>E5-E6</x:f>
        <x:v>88433000</x:v>
      </x:c>
      <x:c r="F7" s="15" t="n">
        <x:f>F5-F6</x:f>
        <x:v>90632000</x:v>
      </x:c>
      <x:c r="G7" s="2"/>
      <x:c r="H7" s="2"/>
    </x:row>
    <x:row r="8" ht="23" customHeight="1">
      <x:c r="A8" s="2"/>
      <x:c r="B8" s="8"/>
      <x:c r="C8" s="8"/>
      <x:c r="D8" s="8"/>
      <x:c r="E8" s="8"/>
      <x:c r="F8" s="8"/>
      <x:c r="G8" s="2"/>
      <x:c r="H8" s="2"/>
    </x:row>
    <x:row r="9" ht="23" customHeight="1">
      <x:c r="A9" s="2" t="str">
        <x:v>Population (persons)</x:v>
      </x:c>
      <x:c r="B9" s="8" t="n">
        <x:f>'Evidence'!D15</x:f>
        <x:v>4458775</x:v>
      </x:c>
      <x:c r="C9" s="8" t="n">
        <x:f>'Evidence'!D16</x:f>
        <x:v>32527843</x:v>
      </x:c>
      <x:c r="D9" s="8" t="n">
        <x:f>'Evidence'!D17</x:f>
        <x:v>4472103</x:v>
      </x:c>
      <x:c r="E9" s="8" t="n">
        <x:f>SUM(C9:D9)</x:f>
        <x:v>36999946</x:v>
      </x:c>
      <x:c r="F9" s="8" t="n">
        <x:f>SUM(B9:D9)</x:f>
        <x:v>41458721</x:v>
      </x:c>
      <x:c r="G9" s="2"/>
      <x:c r="H9" s="2"/>
    </x:row>
    <x:row r="10" ht="48" customHeight="1">
      <x:c r="A10" s="2" t="str">
        <x:v>Nominal output at factor cost (£)</x:v>
      </x:c>
      <x:c r="B10" s="8" t="n">
        <x:f>'GDP basis'!B10*1000000</x:f>
        <x:v>124101381.41626643</x:v>
      </x:c>
      <x:c r="C10" s="29" t="str">
        <x:v>n.a.</x:v>
      </x:c>
      <x:c r="D10" s="29" t="str">
        <x:v>n.a.</x:v>
      </x:c>
      <x:c r="E10" s="8" t="n">
        <x:f>'GDP basis'!B12*1000000</x:f>
        <x:v>1723797190.1797862</x:v>
      </x:c>
      <x:c r="F10" s="8" t="n">
        <x:f>'GDP basis'!B11*1000000</x:f>
        <x:v>1847898571.5960526</x:v>
      </x:c>
      <x:c r="G10" s="2"/>
      <x:c r="H10" s="10" t="str">
        <x:v>Millennium v3.1 current factor-cost output. See GDP basis for construction and comparison with the older denominator. England/Wales and Scotland remain n.a. on this basis.</x:v>
      </x:c>
    </x:row>
    <x:row r="11" ht="23" customHeight="1">
      <x:c r="A11" s="2"/>
      <x:c r="B11" s="8"/>
      <x:c r="C11" s="29"/>
      <x:c r="D11" s="29"/>
      <x:c r="E11" s="8"/>
      <x:c r="F11" s="8"/>
      <x:c r="G11" s="2"/>
      <x:c r="H11" s="2"/>
    </x:row>
    <x:row r="12" ht="23" customHeight="1">
      <x:c r="A12" s="2" t="str">
        <x:v>Attributed revenue per person (£)</x:v>
      </x:c>
      <x:c r="B12" s="9" t="n">
        <x:f>B5/B9</x:f>
        <x:v>2.1317514339700927</x:v>
      </x:c>
      <x:c r="C12" s="30" t="n">
        <x:f>C5/C9</x:f>
        <x:v>3.4814481857896324</x:v>
      </x:c>
      <x:c r="D12" s="30" t="n">
        <x:f>D5/D9</x:f>
        <x:v>3.3360143985950232</x:v>
      </x:c>
      <x:c r="E12" s="9" t="n">
        <x:f>E5/E9</x:f>
        <x:v>3.4638699202425864</x:v>
      </x:c>
      <x:c r="F12" s="9" t="n">
        <x:f>F5/F9</x:f>
        <x:v>3.3206041257278534</x:v>
      </x:c>
      <x:c r="G12" s="2"/>
      <x:c r="H12" s="2"/>
    </x:row>
    <x:row r="13" ht="23" customHeight="1">
      <x:c r="A13" s="2" t="str">
        <x:v>Domestic expenditure per person (£)</x:v>
      </x:c>
      <x:c r="B13" s="9" t="n">
        <x:f>B6/B9</x:f>
        <x:v>1.6385666466686477</x:v>
      </x:c>
      <x:c r="C13" s="30" t="n">
        <x:f>C6/C9</x:f>
        <x:v>1.0688996500628707</x:v>
      </x:c>
      <x:c r="D13" s="30" t="n">
        <x:f>D6/D9</x:f>
        <x:v>1.1093214981855293</x:v>
      </x:c>
      <x:c r="E13" s="9" t="n">
        <x:f>E6/E9</x:f>
        <x:v>1.0737853509299717</x:v>
      </x:c>
      <x:c r="F13" s="9" t="n">
        <x:f>F6/F9</x:f>
        <x:v>1.134526074743116</x:v>
      </x:c>
      <x:c r="G13" s="2"/>
      <x:c r="H13" s="2"/>
    </x:row>
    <x:row r="14" ht="23" customHeight="1">
      <x:c r="A14" s="14" t="str">
        <x:v>Imperial contribution per person (£)</x:v>
      </x:c>
      <x:c r="B14" s="17" t="n">
        <x:f>B7/B9</x:f>
        <x:v>0.4931847873014449</x:v>
      </x:c>
      <x:c r="C14" s="31" t="n">
        <x:f>C7/C9</x:f>
        <x:v>2.4125485357267618</x:v>
      </x:c>
      <x:c r="D14" s="31" t="n">
        <x:f>D7/D9</x:f>
        <x:v>2.226692900409494</x:v>
      </x:c>
      <x:c r="E14" s="17" t="n">
        <x:f>E7/E9</x:f>
        <x:v>2.3900845693126147</x:v>
      </x:c>
      <x:c r="F14" s="17" t="n">
        <x:f>F7/F9</x:f>
        <x:v>2.1860780509847375</x:v>
      </x:c>
      <x:c r="G14" s="2"/>
      <x:c r="H14" s="2"/>
    </x:row>
    <x:row r="15" ht="23" customHeight="1">
      <x:c r="A15" s="2"/>
      <x:c r="B15" s="8"/>
      <x:c r="C15" s="29"/>
      <x:c r="D15" s="29"/>
      <x:c r="E15" s="8"/>
      <x:c r="F15" s="8"/>
      <x:c r="G15" s="2"/>
      <x:c r="H15" s="2"/>
    </x:row>
    <x:row r="16" ht="23" customHeight="1">
      <x:c r="A16" s="2" t="str">
        <x:v>Attributed revenue / output</x:v>
      </x:c>
      <x:c r="B16" s="28" t="n">
        <x:f>B5/B10</x:f>
        <x:v>0.0765906059346584</x:v>
      </x:c>
      <x:c r="C16" s="35" t="str">
        <x:v>n.a.</x:v>
      </x:c>
      <x:c r="D16" s="35" t="str">
        <x:v>n.a.</x:v>
      </x:c>
      <x:c r="E16" s="28" t="n">
        <x:f>E5/E10</x:f>
        <x:v>0.07434923361641693</x:v>
      </x:c>
      <x:c r="F16" s="28" t="n">
        <x:f>F5/F10</x:f>
        <x:v>0.07449975995224373</x:v>
      </x:c>
      <x:c r="G16" s="2"/>
      <x:c r="H16" s="2"/>
    </x:row>
    <x:row r="17" ht="23" customHeight="1">
      <x:c r="A17" s="2" t="str">
        <x:v>Domestic expenditure / output</x:v>
      </x:c>
      <x:c r="B17" s="28" t="n">
        <x:f>B6/B10</x:f>
        <x:v>0.05887122219448861</x:v>
      </x:c>
      <x:c r="C17" s="35" t="str">
        <x:v>n.a.</x:v>
      </x:c>
      <x:c r="D17" s="35" t="str">
        <x:v>n.a.</x:v>
      </x:c>
      <x:c r="E17" s="28" t="n">
        <x:f>E6/E10</x:f>
        <x:v>0.02304795496032587</x:v>
      </x:c>
      <x:c r="F17" s="28" t="n">
        <x:f>F6/F10</x:f>
        <x:v>0.025453777995712412</x:v>
      </x:c>
      <x:c r="G17" s="2"/>
      <x:c r="H17" s="2"/>
    </x:row>
    <x:row r="18" ht="48" customHeight="1">
      <x:c r="A18" s="14" t="str">
        <x:v>Imperial contribution / output</x:v>
      </x:c>
      <x:c r="B18" s="36" t="n">
        <x:f>B7/B10</x:f>
        <x:v>0.017719383740169785</x:v>
      </x:c>
      <x:c r="C18" s="37" t="str">
        <x:v>n.a.</x:v>
      </x:c>
      <x:c r="D18" s="37" t="str">
        <x:v>n.a.</x:v>
      </x:c>
      <x:c r="E18" s="36" t="n">
        <x:f>E7/E10</x:f>
        <x:v>0.051301278656091055</x:v>
      </x:c>
      <x:c r="F18" s="36" t="n">
        <x:f>F7/F10</x:f>
        <x:v>0.04904598195653132</x:v>
      </x:c>
      <x:c r="G18" s="2"/>
      <x:c r="H18" s="10" t="str">
        <x:v>Current sterling numerator and denominator. Fiscal year 1900–01 versus calendar-year 1901 output. This is a factor-cost ratio, not market-price GDP.</x:v>
      </x:c>
    </x:row>
    <x:row r="19" ht="23" customHeight="1">
      <x:c r="A19" s="2"/>
      <x:c r="B19" s="28"/>
      <x:c r="C19" s="35"/>
      <x:c r="D19" s="35"/>
      <x:c r="E19" s="28"/>
      <x:c r="F19" s="28"/>
      <x:c r="G19" s="2"/>
      <x:c r="H19" s="2"/>
    </x:row>
    <x:row r="20" ht="23" customHeight="1">
      <x:c r="A20" s="2" t="str">
        <x:v>Share of UK population</x:v>
      </x:c>
      <x:c r="B20" s="28" t="n">
        <x:f>B9/$F$9</x:f>
        <x:v>0.10754733605988472</x:v>
      </x:c>
      <x:c r="C20" s="35" t="n">
        <x:f>C9/$F$9</x:f>
        <x:v>0.7845838514892922</x:v>
      </x:c>
      <x:c r="D20" s="35" t="n">
        <x:f>D9/$F$9</x:f>
        <x:v>0.10786881245082307</x:v>
      </x:c>
      <x:c r="E20" s="28" t="n">
        <x:f>E9/$F$9</x:f>
        <x:v>0.8924526639401152</x:v>
      </x:c>
      <x:c r="F20" s="28" t="n">
        <x:f>F9/$F$9</x:f>
        <x:v>1</x:v>
      </x:c>
      <x:c r="G20" s="2"/>
      <x:c r="H20" s="2"/>
    </x:row>
    <x:row r="21" ht="23" customHeight="1">
      <x:c r="A21" s="2" t="str">
        <x:v>Share of UK output</x:v>
      </x:c>
      <x:c r="B21" s="28" t="n">
        <x:f>B10/$F$10</x:f>
        <x:v>0.06715811317992337</x:v>
      </x:c>
      <x:c r="C21" s="35" t="str">
        <x:v>n.a.</x:v>
      </x:c>
      <x:c r="D21" s="35" t="str">
        <x:v>n.a.</x:v>
      </x:c>
      <x:c r="E21" s="28" t="n">
        <x:f>E10/$F$10</x:f>
        <x:v>0.9328418868200766</x:v>
      </x:c>
      <x:c r="F21" s="28" t="n">
        <x:f>F10/$F$10</x:f>
        <x:v>1</x:v>
      </x:c>
      <x:c r="G21" s="2"/>
      <x:c r="H21" s="2"/>
    </x:row>
    <x:row r="22" ht="23" customHeight="1">
      <x:c r="A22" s="2" t="str">
        <x:v>Share of UK Imperial contribution</x:v>
      </x:c>
      <x:c r="B22" s="28" t="n">
        <x:f>B7/$F$7</x:f>
        <x:v>0.024262953482213787</x:v>
      </x:c>
      <x:c r="C22" s="35" t="n">
        <x:f>C7/$F$7</x:f>
        <x:v>0.8658641539412129</x:v>
      </x:c>
      <x:c r="D22" s="35" t="n">
        <x:f>D7/$F$7</x:f>
        <x:v>0.1098728925765734</x:v>
      </x:c>
      <x:c r="E22" s="28" t="n">
        <x:f>E7/$F$7</x:f>
        <x:v>0.9757370465177863</x:v>
      </x:c>
      <x:c r="F22" s="28" t="n">
        <x:f>F7/$F$7</x:f>
        <x:v>1</x:v>
      </x:c>
      <x:c r="G22" s="2"/>
      <x:c r="H22" s="2"/>
    </x:row>
    <x:row r="23" ht="23" customHeight="1">
      <x:c r="A23" s="2"/>
      <x:c r="B23" s="8"/>
      <x:c r="C23" s="29"/>
      <x:c r="D23" s="29"/>
      <x:c r="E23" s="8"/>
      <x:c r="F23" s="8"/>
      <x:c r="G23" s="2"/>
      <x:c r="H23" s="2"/>
    </x:row>
    <x:row r="24" ht="23" customHeight="1">
      <x:c r="A24" s="14" t="str">
        <x:v>Equal per-capita contribution (£)</x:v>
      </x:c>
      <x:c r="B24" s="15" t="n">
        <x:f>$F$7*B20</x:f>
        <x:v>9747230.16177947</x:v>
      </x:c>
      <x:c r="C24" s="34" t="n">
        <x:f>$F$7*C20</x:f>
        <x:v>71108403.62817754</x:v>
      </x:c>
      <x:c r="D24" s="34" t="n">
        <x:f>$F$7*D20</x:f>
        <x:v>9776366.210042996</x:v>
      </x:c>
      <x:c r="E24" s="15" t="n">
        <x:f>$F$7*E20</x:f>
        <x:v>80884769.83822052</x:v>
      </x:c>
      <x:c r="F24" s="15" t="n">
        <x:f>$F$7*F20</x:f>
        <x:v>90632000</x:v>
      </x:c>
      <x:c r="G24" s="2"/>
      <x:c r="H24" s="2"/>
    </x:row>
    <x:row r="25" ht="48" customHeight="1">
      <x:c r="A25" s="2" t="str">
        <x:v>Actual less per-capita benchmark (£)</x:v>
      </x:c>
      <x:c r="B25" s="8" t="n">
        <x:f>B7-B24</x:f>
        <x:v>-7548230.161779471</x:v>
      </x:c>
      <x:c r="C25" s="29" t="n">
        <x:f>C7-C24</x:f>
        <x:v>7366596.3718224615</x:v>
      </x:c>
      <x:c r="D25" s="29" t="n">
        <x:f>D7-D24</x:f>
        <x:v>181633.78995700367</x:v>
      </x:c>
      <x:c r="E25" s="8" t="n">
        <x:f>E7-E24</x:f>
        <x:v>7548230.161779478</x:v>
      </x:c>
      <x:c r="F25" s="8" t="n">
        <x:f>F7-F24</x:f>
        <x:v>0</x:v>
      </x:c>
      <x:c r="G25" s="2"/>
      <x:c r="H25" s="10" t="str">
        <x:v>Benchmarks redistribute the observed UK contribution total. They do not allocate all Imperial spending or establish fairness.</x:v>
      </x:c>
    </x:row>
    <x:row r="26" ht="23" customHeight="1">
      <x:c r="A26" s="2"/>
      <x:c r="B26" s="8"/>
      <x:c r="C26" s="29"/>
      <x:c r="D26" s="29"/>
      <x:c r="E26" s="8"/>
      <x:c r="F26" s="8"/>
      <x:c r="G26" s="2"/>
      <x:c r="H26" s="2"/>
    </x:row>
    <x:row r="27" ht="23" customHeight="1">
      <x:c r="A27" s="14" t="str">
        <x:v>Equal output-share contribution (£)</x:v>
      </x:c>
      <x:c r="B27" s="15" t="n">
        <x:f>$F$7*B21</x:f>
        <x:v>6086674.113722815</x:v>
      </x:c>
      <x:c r="C27" s="34" t="str">
        <x:v>n.a.</x:v>
      </x:c>
      <x:c r="D27" s="34" t="str">
        <x:v>n.a.</x:v>
      </x:c>
      <x:c r="E27" s="15" t="n">
        <x:f>$F$7*E21</x:f>
        <x:v>84545325.88627718</x:v>
      </x:c>
      <x:c r="F27" s="15" t="n">
        <x:f>$F$7*F21</x:f>
        <x:v>90632000</x:v>
      </x:c>
      <x:c r="G27" s="2"/>
      <x:c r="H27" s="2"/>
    </x:row>
    <x:row r="28" ht="48" customHeight="1">
      <x:c r="A28" s="2" t="str">
        <x:v>Actual less output-share benchmark (£)</x:v>
      </x:c>
      <x:c r="B28" s="8" t="n">
        <x:f>B7-B27</x:f>
        <x:v>-3887674.113722815</x:v>
      </x:c>
      <x:c r="C28" s="29" t="str">
        <x:v>n.a.</x:v>
      </x:c>
      <x:c r="D28" s="29" t="str">
        <x:v>n.a.</x:v>
      </x:c>
      <x:c r="E28" s="8" t="n">
        <x:f>E7-E27</x:f>
        <x:v>3887674.113722816</x:v>
      </x:c>
      <x:c r="F28" s="8" t="n">
        <x:f>F7-F27</x:f>
        <x:v>0</x:v>
      </x:c>
      <x:c r="G28" s="2"/>
      <x:c r="H28" s="10" t="str">
        <x:v>Great Britain = England, Wales and Scotland. UK here includes all Ireland and excludes the Channel Islands and Isle of Man.</x:v>
      </x:c>
    </x:row>
    <x:row r="29" ht="23" customHeight="1">
      <x:c r="A29" s="2"/>
      <x:c r="B29" s="2"/>
      <x:c r="C29" s="2"/>
      <x:c r="D29" s="2"/>
      <x:c r="E29" s="2"/>
      <x:c r="F29" s="2"/>
      <x:c r="G29" s="2"/>
      <x:c r="H29" s="2"/>
    </x:row>
    <x:row r="30" ht="23" customHeight="1">
      <x:c r="A30" s="2"/>
      <x:c r="B30" s="2"/>
      <x:c r="C30" s="2"/>
      <x:c r="D30" s="2"/>
      <x:c r="E30" s="2"/>
      <x:c r="F30" s="2"/>
      <x:c r="G30" s="2"/>
      <x:c r="H30" s="2"/>
    </x:row>
    <x:row r="31" ht="30" customHeight="1">
      <x:c r="A31" s="7" t="str">
        <x:v>Irish-services breakdown</x:v>
      </x:c>
      <x:c r="B31" s="7" t="str">
        <x:v>GBP</x:v>
      </x:c>
      <x:c r="C31" s="2"/>
      <x:c r="D31" s="2"/>
      <x:c r="E31" s="2"/>
      <x:c r="F31" s="2"/>
      <x:c r="G31" s="2"/>
      <x:c r="H31" s="2" t="str">
        <x:v>HNAG transcription, p.1. Detail totals exclude Imperial categories.</x:v>
      </x:c>
    </x:row>
    <x:row r="32" ht="48" customHeight="1">
      <x:c r="A32" s="2" t="str">
        <x:v>Civil government: Consolidated Fund</x:v>
      </x:c>
      <x:c r="B32" s="8" t="n">
        <x:v>171000</x:v>
      </x:c>
      <x:c r="C32" s="2"/>
      <x:c r="D32" s="2"/>
      <x:c r="E32" s="2"/>
      <x:c r="F32" s="2"/>
      <x:c r="G32" s="2"/>
      <x:c r="H32" s="10" t="str">
        <x:v>https://ceph.ie/wp-content/uploads/2024/04/Summary-of-revenue-and-expenditure-exchequer-issues-1901.pdf</x:v>
      </x:c>
    </x:row>
    <x:row r="33" ht="23" customHeight="1">
      <x:c r="A33" s="2" t="str">
        <x:v>Civil government: voted</x:v>
      </x:c>
      <x:c r="B33" s="8" t="n">
        <x:v>4374000</x:v>
      </x:c>
      <x:c r="C33" s="2"/>
      <x:c r="D33" s="2"/>
      <x:c r="E33" s="2"/>
      <x:c r="F33" s="2"/>
      <x:c r="G33" s="2"/>
      <x:c r="H33" s="2"/>
    </x:row>
    <x:row r="34" ht="23" customHeight="1">
      <x:c r="A34" s="2" t="str">
        <x:v>Cost of collecting taxes</x:v>
      </x:c>
      <x:c r="B34" s="8" t="n">
        <x:v>244000</x:v>
      </x:c>
      <x:c r="C34" s="2"/>
      <x:c r="D34" s="2"/>
      <x:c r="E34" s="2"/>
      <x:c r="F34" s="2"/>
      <x:c r="G34" s="2"/>
      <x:c r="H34" s="2"/>
    </x:row>
    <x:row r="35" ht="23" customHeight="1">
      <x:c r="A35" s="2" t="str">
        <x:v>Post Office services</x:v>
      </x:c>
      <x:c r="B35" s="8" t="n">
        <x:v>1061000</x:v>
      </x:c>
      <x:c r="C35" s="2"/>
      <x:c r="D35" s="2"/>
      <x:c r="E35" s="2"/>
      <x:c r="F35" s="2"/>
      <x:c r="G35" s="2"/>
      <x:c r="H35" s="2"/>
    </x:row>
    <x:row r="36" ht="23" customHeight="1">
      <x:c r="A36" s="2" t="str">
        <x:v>Payments to local taxation accounts</x:v>
      </x:c>
      <x:c r="B36" s="8" t="n">
        <x:v>1054000</x:v>
      </x:c>
      <x:c r="C36" s="2"/>
      <x:c r="D36" s="2"/>
      <x:c r="E36" s="2"/>
      <x:c r="F36" s="2"/>
      <x:c r="G36" s="2"/>
      <x:c r="H36" s="2"/>
    </x:row>
    <x:row r="37" ht="23" customHeight="1">
      <x:c r="A37" s="2" t="str">
        <x:v>Exchequer subtotal</x:v>
      </x:c>
      <x:c r="B37" s="8" t="n">
        <x:f>SUM(B32:B36)</x:f>
        <x:v>6904000</x:v>
      </x:c>
      <x:c r="C37" s="2"/>
      <x:c r="D37" s="2"/>
      <x:c r="E37" s="2"/>
      <x:c r="F37" s="2"/>
      <x:c r="G37" s="2"/>
      <x:c r="H37" s="2"/>
    </x:row>
    <x:row r="38" ht="23" customHeight="1">
      <x:c r="A38" s="2" t="str">
        <x:v>Local-taxation expenditure</x:v>
      </x:c>
      <x:c r="B38" s="8" t="n">
        <x:v>402000</x:v>
      </x:c>
      <x:c r="C38" s="2"/>
      <x:c r="D38" s="2"/>
      <x:c r="E38" s="2"/>
      <x:c r="F38" s="2"/>
      <x:c r="G38" s="2"/>
      <x:c r="H38" s="2"/>
    </x:row>
    <x:row r="39" ht="23" customHeight="1">
      <x:c r="A39" s="14" t="str">
        <x:v>Total Irish services</x:v>
      </x:c>
      <x:c r="B39" s="15" t="n">
        <x:f>SUM(B37:B38)</x:f>
        <x:v>7306000</x:v>
      </x:c>
      <x:c r="C39" s="2"/>
      <x:c r="D39" s="2"/>
      <x:c r="E39" s="2"/>
      <x:c r="F39" s="2"/>
      <x:c r="G39" s="2"/>
      <x:c r="H39" s="2"/>
    </x:row>
    <x:row r="40" ht="23" customHeight="1">
      <x:c r="A40" s="2"/>
      <x:c r="B40" s="2"/>
      <x:c r="C40" s="2"/>
      <x:c r="D40" s="2"/>
      <x:c r="E40" s="2"/>
      <x:c r="F40" s="2"/>
      <x:c r="G40" s="2"/>
      <x:c r="H40" s="2"/>
    </x:row>
    <x:row r="41" ht="23" customHeight="1">
      <x:c r="A41" s="2"/>
      <x:c r="B41" s="2"/>
      <x:c r="C41" s="2"/>
      <x:c r="D41" s="2"/>
      <x:c r="E41" s="2"/>
      <x:c r="F41" s="2"/>
      <x:c r="G41" s="2"/>
      <x:c r="H41" s="2"/>
    </x:row>
    <x:row r="42" ht="30" customHeight="1">
      <x:c r="A42" s="7" t="str">
        <x:v>Reconciliation / unresolved differences</x:v>
      </x:c>
      <x:c r="B42" s="7" t="str">
        <x:v>GBP</x:v>
      </x:c>
      <x:c r="C42" s="2"/>
      <x:c r="D42" s="2"/>
      <x:c r="E42" s="2"/>
      <x:c r="F42" s="2"/>
      <x:c r="G42" s="2"/>
      <x:c r="H42" s="2"/>
    </x:row>
    <x:row r="43" ht="23" customHeight="1">
      <x:c r="A43" s="2" t="str">
        <x:v>HNAG versus Brassey expenditure</x:v>
      </x:c>
      <x:c r="B43" s="20" t="n">
        <x:f>B39-'Evidence'!D8</x:f>
        <x:v>0</x:v>
      </x:c>
      <x:c r="C43" s="2"/>
      <x:c r="D43" s="2"/>
      <x:c r="E43" s="2"/>
      <x:c r="F43" s="2"/>
      <x:c r="G43" s="2"/>
      <x:c r="H43" s="2"/>
    </x:row>
    <x:row r="44" ht="48" customHeight="1">
      <x:c r="A44" s="2" t="str">
        <x:v>Alternative revenue minus base</x:v>
      </x:c>
      <x:c r="B44" s="20" t="n">
        <x:f>'Evidence'!D13-B5</x:f>
        <x:v>16000</x:v>
      </x:c>
      <x:c r="C44" s="2"/>
      <x:c r="D44" s="2"/>
      <x:c r="E44" s="2"/>
      <x:c r="F44" s="2"/>
      <x:c r="G44" s="2"/>
      <x:c r="H44" s="10" t="str">
        <x:v>Scotfact revenue differs by £16,000. Original parliamentary returns still need verification.</x:v>
      </x:c>
    </x:row>
    <x:row r="45" ht="48" customHeight="1">
      <x:c r="A45" s="2" t="str">
        <x:v>England Table V text versus adopted</x:v>
      </x:c>
      <x:c r="B45" s="20" t="n">
        <x:f>113224000-C5</x:f>
        <x:v>-20000</x:v>
      </x:c>
      <x:c r="C45" s="2"/>
      <x:c r="D45" s="2"/>
      <x:c r="E45" s="2"/>
      <x:c r="F45" s="2"/>
      <x:c r="G45" s="2"/>
      <x:c r="H45" s="10" t="str">
        <x:v>Brassey opening summary gives £113.244m, reconciling £34.769m + £78.475m. Table V text reads £113.224m.</x:v>
      </x:c>
    </x:row>
    <x:row r="46" ht="48" customHeight="1">
      <x:c r="A46" s="2" t="str">
        <x:v>Connaught rounded average discrepancy</x:v>
      </x:c>
      <x:c r="B46" s="20" t="n">
        <x:f>'Evidence'!D22*'Evidence'!D23-'Evidence'!D21</x:f>
        <x:v>0.6999999999825377</x:v>
      </x:c>
      <x:c r="C46" s="2"/>
      <x:c r="D46" s="2"/>
      <x:c r="E46" s="2"/>
      <x:c r="F46" s="2"/>
      <x:c r="G46" s="2"/>
      <x:c r="H46" s="10" t="str">
        <x:v>£7 11s × 27,234 gives £205,616.70. The statement gives £205,616. Preserve the reported aggregate.</x:v>
      </x:c>
    </x:row>
    <x:row r="47" ht="23" customHeight="1">
      <x:c r="A47" s="2"/>
      <x:c r="B47" s="2"/>
      <x:c r="C47" s="2"/>
      <x:c r="D47" s="2"/>
      <x:c r="E47" s="2"/>
      <x:c r="F47" s="2"/>
      <x:c r="G47" s="2"/>
      <x:c r="H47" s="2"/>
    </x:row>
    <x:row r="48" ht="23" customHeight="1">
      <x:c r="A48" s="2"/>
      <x:c r="B48" s="2"/>
      <x:c r="C48" s="2"/>
      <x:c r="D48" s="2"/>
      <x:c r="E48" s="2"/>
      <x:c r="F48" s="2"/>
      <x:c r="G48" s="2"/>
      <x:c r="H48" s="2"/>
    </x:row>
    <x:row r="49" ht="23" customHeight="1">
      <x:c r="A49" s="2"/>
      <x:c r="B49" s="2"/>
      <x:c r="C49" s="2"/>
      <x:c r="D49" s="2"/>
      <x:c r="E49" s="2"/>
      <x:c r="F49" s="2"/>
      <x:c r="G49" s="2"/>
      <x:c r="H49"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9" hidden="0" customWidth="1"/>
    <x:col min="2" max="2" width="23" hidden="0" customWidth="1"/>
    <x:col min="3" max="3" width="23" hidden="0" customWidth="1"/>
    <x:col min="4" max="4" width="23" hidden="0" customWidth="1"/>
    <x:col min="5" max="5" width="24" hidden="0" customWidth="1"/>
    <x:col min="6" max="6" width="24" hidden="0" customWidth="1"/>
    <x:col min="7" max="7" width="5" hidden="0" customWidth="1"/>
    <x:col min="8" max="8" width="100" hidden="0" customWidth="1"/>
  </x:cols>
  <x:sheetData>
    <x:row r="1" ht="23" customHeight="1">
      <x:c r="A1" s="2"/>
      <x:c r="B1" s="2"/>
      <x:c r="C1" s="2"/>
      <x:c r="D1" s="2"/>
      <x:c r="E1" s="2"/>
      <x:c r="F1" s="2"/>
      <x:c r="G1" s="2"/>
      <x:c r="H1" s="2"/>
    </x:row>
    <x:row r="2" ht="23" customHeight="1">
      <x:c r="A2" s="3" t="str">
        <x:v>1901 output denominators: sources and vintage comparison</x:v>
      </x:c>
      <x:c r="B2" s="2"/>
      <x:c r="C2" s="2"/>
      <x:c r="D2" s="2"/>
      <x:c r="E2" s="2"/>
      <x:c r="F2" s="2"/>
      <x:c r="G2" s="2"/>
      <x:c r="H2" s="2"/>
    </x:row>
    <x:row r="3" ht="23" customHeight="1">
      <x:c r="A3" s="4"/>
      <x:c r="B3" s="4"/>
      <x:c r="C3" s="4"/>
      <x:c r="D3" s="4"/>
      <x:c r="E3" s="4"/>
      <x:c r="F3" s="4"/>
      <x:c r="G3" s="4"/>
      <x:c r="H3" s="4"/>
    </x:row>
    <x:row r="4" ht="30" customHeight="1">
      <x:c r="A4" s="7" t="str">
        <x:v>Millennium v3.1 reconstruction</x:v>
      </x:c>
      <x:c r="B4" s="7" t="str">
        <x:v>Value</x:v>
      </x:c>
      <x:c r="C4" s="7" t="str">
        <x:v>Unit</x:v>
      </x:c>
      <x:c r="D4" s="2"/>
      <x:c r="E4" s="2"/>
      <x:c r="F4" s="2"/>
      <x:c r="G4" s="2"/>
      <x:c r="H4" s="2"/>
    </x:row>
    <x:row r="5" ht="65" customHeight="1">
      <x:c r="A5" s="2" t="str">
        <x:v>Irish nominal series before benchmarking</x:v>
      </x:c>
      <x:c r="B5" s="26" t="n">
        <x:v>113.54174335849851</x:v>
      </x:c>
      <x:c r="C5" s="2" t="str">
        <x:v>GBP million</x:v>
      </x:c>
      <x:c r="D5" s="2"/>
      <x:c r="E5" s="2"/>
      <x:c r="F5" s="2"/>
      <x:c r="G5" s="2"/>
      <x:c r="H5" s="10" t="str">
        <x:v>Official downloaded workbook, A9: AP219 (Irish nominal series), AN179 and AP179 (1861 inputs). AP5 says CPI is used as the deflator. https://www.bankofengland.co.uk/-/media/boe/files/statistics/research-datasets/a-millennium-of-macroeconomic-data-for-the-uk.xlsx</x:v>
      </x:c>
    </x:row>
    <x:row r="6" ht="23" customHeight="1">
      <x:c r="A6" s="2" t="str">
        <x:v>GB output benchmark, 1861</x:v>
      </x:c>
      <x:c r="B6" s="26" t="n">
        <x:v>710.5369880639972</x:v>
      </x:c>
      <x:c r="C6" s="2" t="str">
        <x:v>GBP million</x:v>
      </x:c>
      <x:c r="D6" s="2"/>
      <x:c r="E6" s="2"/>
      <x:c r="F6" s="2"/>
      <x:c r="G6" s="2"/>
      <x:c r="H6" s="2"/>
    </x:row>
    <x:row r="7" ht="23" customHeight="1">
      <x:c r="A7" s="2" t="str">
        <x:v>Irish nominal series, 1861</x:v>
      </x:c>
      <x:c r="B7" s="26" t="n">
        <x:v>88.64703353250994</x:v>
      </x:c>
      <x:c r="C7" s="2" t="str">
        <x:v>GBP million</x:v>
      </x:c>
      <x:c r="D7" s="2"/>
      <x:c r="E7" s="2"/>
      <x:c r="F7" s="2"/>
      <x:c r="G7" s="2"/>
      <x:c r="H7" s="2"/>
    </x:row>
    <x:row r="8" ht="65" customHeight="1">
      <x:c r="A8" s="2" t="str">
        <x:v>Irish share used in 1861 benchmark</x:v>
      </x:c>
      <x:c r="B8" s="11" t="n">
        <x:v>0.12</x:v>
      </x:c>
      <x:c r="C8" s="2" t="str">
        <x:v>fraction</x:v>
      </x:c>
      <x:c r="D8" s="2"/>
      <x:c r="E8" s="2"/>
      <x:c r="F8" s="2"/>
      <x:c r="G8" s="2"/>
      <x:c r="H8" s="10" t="str">
        <x:v>The 12% share is explicit in A9!AQ219. Reproduce its formula: 0.12/(1−0.12) × AN179/AP179 × AP219. AR219 and AT219 carry this result forward.</x:v>
      </x:c>
    </x:row>
    <x:row r="9" ht="23" customHeight="1">
      <x:c r="A9" s="2" t="str">
        <x:v>Level multiplier</x:v>
      </x:c>
      <x:c r="B9" s="26" t="n">
        <x:f>B8/(1-B8)*B6/B7</x:f>
        <x:v>1.0930022540205917</x:v>
      </x:c>
      <x:c r="C9" s="2" t="str">
        <x:v>multiple</x:v>
      </x:c>
      <x:c r="D9" s="2"/>
      <x:c r="E9" s="2"/>
      <x:c r="F9" s="2"/>
      <x:c r="G9" s="2"/>
      <x:c r="H9" s="2"/>
    </x:row>
    <x:row r="10" ht="23" customHeight="1">
      <x:c r="A10" s="2" t="str">
        <x:v>Ireland, current factor cost, 1901</x:v>
      </x:c>
      <x:c r="B10" s="26" t="n">
        <x:f>B5*B9</x:f>
        <x:v>124.10138141626642</x:v>
      </x:c>
      <x:c r="C10" s="2" t="str">
        <x:v>GBP million</x:v>
      </x:c>
      <x:c r="D10" s="2"/>
      <x:c r="E10" s="2"/>
      <x:c r="F10" s="2"/>
      <x:c r="G10" s="2"/>
      <x:c r="H10" s="2"/>
    </x:row>
    <x:row r="11" ht="65" customHeight="1">
      <x:c r="A11" s="2" t="str">
        <x:v>UK including all Ireland, 1901</x:v>
      </x:c>
      <x:c r="B11" s="26" t="n">
        <x:v>1847.8985715960525</x:v>
      </x:c>
      <x:c r="C11" s="2" t="str">
        <x:v>GBP million</x:v>
      </x:c>
      <x:c r="D11" s="2"/>
      <x:c r="E11" s="2"/>
      <x:c r="F11" s="2"/>
      <x:c r="G11" s="2"/>
      <x:c r="H11" s="10" t="str">
        <x:v>A9!BF219 is the UK compromise estimate at factor cost. BK219 = BF219 − AT219. Both include the correct 1901 territory. The headline modern-boundary UK series is unsuitable.</x:v>
      </x:c>
    </x:row>
    <x:row r="12" ht="23" customHeight="1">
      <x:c r="A12" s="2" t="str">
        <x:v>Great Britain, 1901</x:v>
      </x:c>
      <x:c r="B12" s="26" t="n">
        <x:f>B11-B10</x:f>
        <x:v>1723.7971901797862</x:v>
      </x:c>
      <x:c r="C12" s="2" t="str">
        <x:v>GBP million</x:v>
      </x:c>
      <x:c r="D12" s="2"/>
      <x:c r="E12" s="2"/>
      <x:c r="F12" s="2"/>
      <x:c r="G12" s="2"/>
      <x:c r="H12" s="2"/>
    </x:row>
    <x:row r="13" ht="23" customHeight="1">
      <x:c r="A13" s="2" t="str">
        <x:v>Source control: Ireland</x:v>
      </x:c>
      <x:c r="B13" s="26" t="n">
        <x:v>124.10138141626642</x:v>
      </x:c>
      <x:c r="C13" s="2" t="str">
        <x:v>GBP million</x:v>
      </x:c>
      <x:c r="D13" s="2"/>
      <x:c r="E13" s="2"/>
      <x:c r="F13" s="2"/>
      <x:c r="G13" s="2"/>
      <x:c r="H13" s="2"/>
    </x:row>
    <x:row r="14" ht="23" customHeight="1">
      <x:c r="A14" s="2" t="str">
        <x:v>Source control: Great Britain</x:v>
      </x:c>
      <x:c r="B14" s="26" t="n">
        <x:v>1723.7971901797862</x:v>
      </x:c>
      <x:c r="C14" s="2" t="str">
        <x:v>GBP million</x:v>
      </x:c>
      <x:c r="D14" s="2"/>
      <x:c r="E14" s="2"/>
      <x:c r="F14" s="2"/>
      <x:c r="G14" s="2"/>
      <x:c r="H14" s="2"/>
    </x:row>
    <x:row r="15" ht="23" customHeight="1">
      <x:c r="A15" s="2" t="str">
        <x:v>Irish reconstruction minus source</x:v>
      </x:c>
      <x:c r="B15" s="26" t="n">
        <x:f>B10-B13</x:f>
        <x:v>0</x:v>
      </x:c>
      <x:c r="C15" s="2" t="str">
        <x:v>GBP million</x:v>
      </x:c>
      <x:c r="D15" s="2"/>
      <x:c r="E15" s="2"/>
      <x:c r="F15" s="2"/>
      <x:c r="G15" s="2"/>
      <x:c r="H15" s="2"/>
    </x:row>
    <x:row r="16" ht="23" customHeight="1">
      <x:c r="A16" s="2" t="str">
        <x:v>GB reconstruction minus source</x:v>
      </x:c>
      <x:c r="B16" s="26" t="n">
        <x:f>B12-B14</x:f>
        <x:v>0</x:v>
      </x:c>
      <x:c r="C16" s="2" t="str">
        <x:v>GBP million</x:v>
      </x:c>
      <x:c r="D16" s="2"/>
      <x:c r="E16" s="2"/>
      <x:c r="F16" s="2"/>
      <x:c r="G16" s="2"/>
      <x:c r="H16" s="2"/>
    </x:row>
    <x:row r="17" ht="23" customHeight="1">
      <x:c r="A17" s="2"/>
      <x:c r="B17" s="2"/>
      <x:c r="C17" s="2"/>
      <x:c r="D17" s="2"/>
      <x:c r="E17" s="2"/>
      <x:c r="F17" s="2"/>
      <x:c r="G17" s="2"/>
      <x:c r="H17" s="2"/>
    </x:row>
    <x:row r="18" ht="30" customHeight="1">
      <x:c r="A18" s="7" t="str">
        <x:v>1901 nominal denominator comparison</x:v>
      </x:c>
      <x:c r="B18" s="7" t="str">
        <x:v>Ireland (£m)</x:v>
      </x:c>
      <x:c r="C18" s="7" t="str">
        <x:v>GB (£m)</x:v>
      </x:c>
      <x:c r="D18" s="7" t="str">
        <x:v>UK (£m)</x:v>
      </x:c>
      <x:c r="E18" s="2"/>
      <x:c r="F18" s="2"/>
      <x:c r="G18" s="2"/>
      <x:c r="H18" s="2"/>
    </x:row>
    <x:row r="19" ht="23" customHeight="1">
      <x:c r="A19" s="2" t="str">
        <x:v>Older Crafts / Geary–Stark</x:v>
      </x:c>
      <x:c r="B19" s="27" t="n">
        <x:f>'Evidence'!D18/1000000</x:f>
        <x:v>149.6</x:v>
      </x:c>
      <x:c r="C19" s="27" t="n">
        <x:f>D19-B19</x:f>
        <x:v>1899.4</x:v>
      </x:c>
      <x:c r="D19" s="27" t="n">
        <x:f>'Evidence'!D19/1000000</x:f>
        <x:v>2049</x:v>
      </x:c>
      <x:c r="E19" s="2"/>
      <x:c r="F19" s="2"/>
      <x:c r="G19" s="2"/>
      <x:c r="H19" s="2"/>
    </x:row>
    <x:row r="20" ht="65" customHeight="1">
      <x:c r="A20" s="2" t="str">
        <x:v>Millennium working basis</x:v>
      </x:c>
      <x:c r="B20" s="27" t="n">
        <x:f>B10</x:f>
        <x:v>124.10138141626642</x:v>
      </x:c>
      <x:c r="C20" s="27" t="n">
        <x:f>B12</x:f>
        <x:v>1723.7971901797862</x:v>
      </x:c>
      <x:c r="D20" s="27" t="n">
        <x:f>B11</x:f>
        <x:v>1847.8985715960525</x:v>
      </x:c>
      <x:c r="E20" s="2"/>
      <x:c r="F20" s="2"/>
      <x:c r="G20" s="2"/>
      <x:c r="H20" s="10" t="str">
        <x:v>Working denominator: Millennium v3.1, citing Andersson–Lennard (2017). Retain the older values as a sensitivity comparison. No matched Millennium country split for England/Wales and Scotland has been adopted.</x:v>
      </x:c>
    </x:row>
    <x:row r="21" ht="23" customHeight="1">
      <x:c r="A21" s="2"/>
      <x:c r="B21" s="2"/>
      <x:c r="C21" s="2"/>
      <x:c r="D21" s="2"/>
      <x:c r="E21" s="2"/>
      <x:c r="F21" s="2"/>
      <x:c r="G21" s="2"/>
      <x:c r="H21" s="2"/>
    </x:row>
    <x:row r="22" ht="23" customHeight="1">
      <x:c r="A22" s="2"/>
      <x:c r="B22" s="2"/>
      <x:c r="C22" s="2"/>
      <x:c r="D22" s="2"/>
      <x:c r="E22" s="2"/>
      <x:c r="F22" s="2"/>
      <x:c r="G22" s="2"/>
      <x:c r="H22" s="2"/>
    </x:row>
    <x:row r="23" ht="30" customHeight="1">
      <x:c r="A23" s="7" t="str">
        <x:v>Imperial contribution / output</x:v>
      </x:c>
      <x:c r="B23" s="7" t="str">
        <x:v>Ireland</x:v>
      </x:c>
      <x:c r="C23" s="7" t="str">
        <x:v>GB</x:v>
      </x:c>
      <x:c r="D23" s="7" t="str">
        <x:v>UK</x:v>
      </x:c>
      <x:c r="E23" s="2"/>
      <x:c r="F23" s="2"/>
      <x:c r="G23" s="2"/>
      <x:c r="H23" s="2"/>
    </x:row>
    <x:row r="24" ht="23" customHeight="1">
      <x:c r="A24" s="2" t="str">
        <x:v>Older denominator</x:v>
      </x:c>
      <x:c r="B24" s="28" t="n">
        <x:f>'Fiscal comparison'!B7/(B19*1000000)</x:f>
        <x:v>0.014699197860962568</x:v>
      </x:c>
      <x:c r="C24" s="28" t="n">
        <x:f>'Fiscal comparison'!E7/(C19*1000000)</x:f>
        <x:v>0.04655838685900811</x:v>
      </x:c>
      <x:c r="D24" s="28" t="n">
        <x:f>'Fiscal comparison'!F7/(D19*1000000)</x:f>
        <x:v>0.044232308443143</x:v>
      </x:c>
      <x:c r="E24" s="2"/>
      <x:c r="F24" s="2"/>
      <x:c r="G24" s="2"/>
      <x:c r="H24" s="2"/>
    </x:row>
    <x:row r="25" ht="23" customHeight="1">
      <x:c r="A25" s="2" t="str">
        <x:v>Millennium denominator</x:v>
      </x:c>
      <x:c r="B25" s="28" t="n">
        <x:f>'Fiscal comparison'!B7/(B20*1000000)</x:f>
        <x:v>0.017719383740169785</x:v>
      </x:c>
      <x:c r="C25" s="28" t="n">
        <x:f>'Fiscal comparison'!E7/(C20*1000000)</x:f>
        <x:v>0.051301278656091055</x:v>
      </x:c>
      <x:c r="D25" s="28" t="n">
        <x:f>'Fiscal comparison'!F7/(D20*1000000)</x:f>
        <x:v>0.04904598195653132</x:v>
      </x:c>
      <x:c r="E25" s="2"/>
      <x:c r="F25" s="2"/>
      <x:c r="G25" s="2"/>
      <x:c r="H25" s="2"/>
    </x:row>
    <x:row r="26" ht="23" customHeight="1">
      <x:c r="A26" s="2"/>
      <x:c r="B26" s="2"/>
      <x:c r="C26" s="2"/>
      <x:c r="D26" s="2"/>
      <x:c r="E26" s="2"/>
      <x:c r="F26" s="2"/>
      <x:c r="G26" s="2"/>
      <x:c r="H26" s="2"/>
    </x:row>
    <x:row r="27" ht="23" customHeight="1">
      <x:c r="A27" s="2"/>
      <x:c r="B27" s="2"/>
      <x:c r="C27" s="2"/>
      <x:c r="D27" s="2"/>
      <x:c r="E27" s="2"/>
      <x:c r="F27" s="2"/>
      <x:c r="G27" s="2"/>
      <x:c r="H27" s="2"/>
    </x:row>
    <x:row r="28" ht="23" customHeight="1">
      <x:c r="A28" s="2"/>
      <x:c r="B28" s="2"/>
      <x:c r="C28" s="2"/>
      <x:c r="D28" s="2"/>
      <x:c r="E28" s="2"/>
      <x:c r="F28" s="2"/>
      <x:c r="G28" s="2"/>
      <x:c r="H28" s="2"/>
    </x:row>
    <x:row r="29" ht="23" customHeight="1">
      <x:c r="A29" s="2" t="str">
        <x:v>Real-series vintage check: levels cannot be compared without price-base adjustment</x:v>
      </x:c>
      <x:c r="B29" s="2"/>
      <x:c r="C29" s="2"/>
      <x:c r="D29" s="2"/>
      <x:c r="E29" s="2"/>
      <x:c r="F29" s="2"/>
      <x:c r="G29" s="2"/>
      <x:c r="H29" s="2"/>
    </x:row>
    <x:row r="30" ht="23" customHeight="1">
      <x:c r="A30" s="2"/>
      <x:c r="B30" s="2"/>
      <x:c r="C30" s="2"/>
      <x:c r="D30" s="2"/>
      <x:c r="E30" s="2"/>
      <x:c r="F30" s="2"/>
      <x:c r="G30" s="2"/>
      <x:c r="H30" s="2"/>
    </x:row>
    <x:row r="31" ht="42" customHeight="1">
      <x:c r="A31" s="7" t="str">
        <x:v>Year</x:v>
      </x:c>
      <x:c r="B31" s="7" t="str">
        <x:v>BoE real (£m, 1841)</x:v>
      </x:c>
      <x:c r="C31" s="7" t="str">
        <x:v>Paper real (£m, 1913)</x:v>
      </x:c>
      <x:c r="D31" s="7" t="str">
        <x:v>BoE: 1913=100</x:v>
      </x:c>
      <x:c r="E31" s="7" t="str">
        <x:v>Paper: 1913=100</x:v>
      </x:c>
      <x:c r="F31" s="7" t="str">
        <x:v>Index difference</x:v>
      </x:c>
      <x:c r="G31" s="2"/>
      <x:c r="H31" s="2"/>
    </x:row>
    <x:row r="32" ht="65" customHeight="1">
      <x:c r="A32" s="2" t="n">
        <x:v>1861</x:v>
      </x:c>
      <x:c r="B32" s="9" t="n">
        <x:v>64.406780971894</x:v>
      </x:c>
      <x:c r="C32" s="9" t="n">
        <x:v>98.36</x:v>
      </x:c>
      <x:c r="D32" s="9" t="n">
        <x:f>B32/$B$35*100</x:f>
        <x:v>70.7045656566508</x:v>
      </x:c>
      <x:c r="E32" s="9" t="n">
        <x:f>C32/$C$35*100</x:f>
        <x:v>81.12164948453608</x:v>
      </x:c>
      <x:c r="F32" s="9" t="n">
        <x:f>D32-E32</x:f>
        <x:v>-10.417083827885278</x:v>
      </x:c>
      <x:c r="G32" s="2"/>
      <x:c r="H32" s="10" t="str">
        <x:v>BoE A8!AP179/AP219/AP229/AP231. Final-paper author manuscript, Appendix B, Table B1 (1913 prices), also Table 3. https://doi.org/10.1093/ereh/hey003</x:v>
      </x:c>
    </x:row>
    <x:row r="33" ht="23" customHeight="1">
      <x:c r="A33" s="2" t="n">
        <x:v>1901</x:v>
      </x:c>
      <x:c r="B33" s="9" t="n">
        <x:v>96.035999971655</x:v>
      </x:c>
      <x:c r="C33" s="9" t="n">
        <x:v>125.03</x:v>
      </x:c>
      <x:c r="D33" s="9" t="n">
        <x:f>B33/$B$35*100</x:f>
        <x:v>105.42653371173935</x:v>
      </x:c>
      <x:c r="E33" s="9" t="n">
        <x:f>C33/$C$35*100</x:f>
        <x:v>103.11752577319588</x:v>
      </x:c>
      <x:c r="F33" s="9" t="n">
        <x:f>D33-E33</x:f>
        <x:v>2.3090079385434734</x:v>
      </x:c>
      <x:c r="G33" s="2"/>
      <x:c r="H33" s="2"/>
    </x:row>
    <x:row r="34" ht="23" customHeight="1">
      <x:c r="A34" s="2" t="n">
        <x:v>1911</x:v>
      </x:c>
      <x:c r="B34" s="9" t="n">
        <x:v>93.8855983655174</x:v>
      </x:c>
      <x:c r="C34" s="9" t="n">
        <x:v>123.58</x:v>
      </x:c>
      <x:c r="D34" s="9" t="n">
        <x:f>B34/$B$35*100</x:f>
        <x:v>103.06586284362575</x:v>
      </x:c>
      <x:c r="E34" s="9" t="n">
        <x:f>C34/$C$35*100</x:f>
        <x:v>101.92164948453608</x:v>
      </x:c>
      <x:c r="F34" s="9" t="n">
        <x:f>D34-E34</x:f>
        <x:v>1.144213359089676</x:v>
      </x:c>
      <x:c r="G34" s="2"/>
      <x:c r="H34" s="2"/>
    </x:row>
    <x:row r="35" ht="65" customHeight="1">
      <x:c r="A35" s="2" t="n">
        <x:v>1913</x:v>
      </x:c>
      <x:c r="B35" s="9" t="n">
        <x:v>91.0928175199611</x:v>
      </x:c>
      <x:c r="C35" s="9" t="n">
        <x:v>121.25</x:v>
      </x:c>
      <x:c r="D35" s="9" t="n">
        <x:f>B35/$B$35*100</x:f>
        <x:v>100</x:v>
      </x:c>
      <x:c r="E35" s="9" t="n">
        <x:f>C35/$C$35*100</x:f>
        <x:v>100</x:v>
      </x:c>
      <x:c r="F35" s="9" t="n">
        <x:f>D35-E35</x:f>
        <x:v>0</x:v>
      </x:c>
      <x:c r="G35" s="2"/>
      <x:c r="H35" s="10" t="str">
        <x:v>Index differences persist after rebasing both series to 1913=100. These vintages therefore differ beyond a uniform price-base conversion. The final paper’s £125.03m is real output, not a replacement nominal denominator.</x:v>
      </x:c>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65" customHeight="1">
      <x:c r="A39" s="2"/>
      <x:c r="B39" s="2"/>
      <x:c r="C39" s="2"/>
      <x:c r="D39" s="2"/>
      <x:c r="E39" s="2"/>
      <x:c r="F39" s="2"/>
      <x:c r="G39" s="2"/>
      <x:c r="H39" s="10" t="str">
        <x:v>Unresolved: obtain the final-paper nominal conversion and replication data before calling the Millennium estimate the final 2019 estimate. Keep factor-cost and market-price measures distinct.</x:v>
      </x:c>
    </x:row>
    <x:row r="40" ht="23" customHeight="1">
      <x:c r="A40" s="2"/>
      <x:c r="B40" s="2"/>
      <x:c r="C40" s="2"/>
      <x:c r="D40" s="2"/>
      <x:c r="E40" s="2"/>
      <x:c r="F40" s="2"/>
      <x:c r="G40" s="2"/>
      <x:c r="H40" s="2"/>
    </x:row>
    <x:row r="41" ht="23" customHeight="1">
      <x:c r="A41" s="2"/>
      <x:c r="B41" s="2"/>
      <x:c r="C41" s="2"/>
      <x:c r="D41" s="2"/>
      <x:c r="E41" s="2"/>
      <x:c r="F41" s="2"/>
      <x:c r="G41" s="2"/>
      <x:c r="H41" s="2"/>
    </x:row>
    <x:row r="42" ht="23" customHeight="1">
      <x:c r="A42" s="2"/>
      <x:c r="B42" s="2"/>
      <x:c r="C42" s="2"/>
      <x:c r="D42" s="2"/>
      <x:c r="E42" s="2"/>
      <x:c r="F42" s="2"/>
      <x:c r="G42" s="2"/>
      <x:c r="H42" s="2"/>
    </x:row>
    <x:row r="43" ht="23" customHeight="1">
      <x:c r="A43" s="2"/>
      <x:c r="B43" s="2"/>
      <x:c r="C43" s="2"/>
      <x:c r="D43" s="2"/>
      <x:c r="E43" s="2"/>
      <x:c r="F43" s="2"/>
      <x:c r="G43" s="2"/>
      <x:c r="H43" s="2"/>
    </x:row>
    <x:row r="44" ht="23" customHeight="1">
      <x:c r="A44" s="2"/>
      <x:c r="B44" s="2"/>
      <x:c r="C44" s="2"/>
      <x:c r="D44" s="2"/>
      <x:c r="E44" s="2"/>
      <x:c r="F44" s="2"/>
      <x:c r="G44" s="2"/>
      <x:c r="H44" s="2"/>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5" hidden="0" customWidth="1"/>
    <x:col min="2" max="2" width="22" hidden="0" customWidth="1"/>
    <x:col min="3" max="3" width="18" hidden="0" customWidth="1"/>
    <x:col min="4" max="4" width="5" hidden="0" customWidth="1"/>
    <x:col min="5" max="5" width="100" hidden="0" customWidth="1"/>
  </x:cols>
  <x:sheetData>
    <x:row r="1" ht="23" customHeight="1">
      <x:c r="A1" s="2"/>
      <x:c r="B1" s="2"/>
      <x:c r="C1" s="2"/>
      <x:c r="D1" s="2"/>
      <x:c r="E1" s="2"/>
    </x:row>
    <x:row r="2" ht="23" customHeight="1">
      <x:c r="A2" s="3" t="str">
        <x:v>Merchandise trade: 1904 evidence</x:v>
      </x:c>
      <x:c r="B2" s="2"/>
      <x:c r="C2" s="2"/>
      <x:c r="D2" s="2"/>
      <x:c r="E2" s="2"/>
    </x:row>
    <x:row r="3" ht="23" customHeight="1">
      <x:c r="A3" s="4"/>
      <x:c r="B3" s="4"/>
      <x:c r="C3" s="4"/>
      <x:c r="D3" s="4"/>
      <x:c r="E3" s="4"/>
    </x:row>
    <x:row r="4" ht="30" customHeight="1">
      <x:c r="A4" s="7" t="str">
        <x:v>Measure</x:v>
      </x:c>
      <x:c r="B4" s="7" t="str">
        <x:v>GBP</x:v>
      </x:c>
      <x:c r="C4" s="7" t="str">
        <x:v>Period</x:v>
      </x:c>
      <x:c r="D4" s="2"/>
      <x:c r="E4" s="2" t="str">
        <x:v>Source / interpretation</x:v>
      </x:c>
    </x:row>
    <x:row r="5" ht="55" customHeight="1">
      <x:c r="A5" s="2" t="str">
        <x:v>Exports: HNAG sum</x:v>
      </x:c>
      <x:c r="B5" s="8" t="n">
        <x:f>SUMIFS('Trade inputs'!F5:F1335,'Trade inputs'!A5:A1335,"Exports")</x:f>
        <x:v>49211821</x:v>
      </x:c>
      <x:c r="C5" s="2" t="str">
        <x:v>1904</x:v>
      </x:c>
      <x:c r="D5" s="2"/>
      <x:c r="E5" s="10" t="str">
        <x:v>Sum of all numeric value entries in the supplied HNAG 1904 tabs. Imports: 433 entries. Exports: 322 entries.</x:v>
      </x:c>
    </x:row>
    <x:row r="6" ht="55" customHeight="1">
      <x:c r="A6" s="2" t="str">
        <x:v>Imports: HNAG sum</x:v>
      </x:c>
      <x:c r="B6" s="8" t="n">
        <x:f>SUMIFS('Trade inputs'!F5:F1335,'Trade inputs'!A5:A1335,"Imports")</x:f>
        <x:v>53308558</x:v>
      </x:c>
      <x:c r="C6" s="2" t="str">
        <x:v>1904</x:v>
      </x:c>
      <x:c r="D6" s="2"/>
      <x:c r="E6" s="10" t="str">
        <x:v>Source headers cite the 1905 report, BPP 1907 vol. LXXXI, pp.116–127 (imports) and pp.128–136 (exports). https://ceph.ie/data-set/international-trade/</x:v>
      </x:c>
    </x:row>
    <x:row r="7" ht="23" customHeight="1">
      <x:c r="A7" s="14" t="str">
        <x:v>Merchandise balance</x:v>
      </x:c>
      <x:c r="B7" s="15" t="n">
        <x:f>B5-B6</x:f>
        <x:v>-4096737</x:v>
      </x:c>
      <x:c r="C7" s="14" t="str">
        <x:v>1904</x:v>
      </x:c>
      <x:c r="D7" s="2"/>
      <x:c r="E7" s="2"/>
    </x:row>
    <x:row r="8" ht="23" customHeight="1">
      <x:c r="A8" s="2"/>
      <x:c r="B8" s="8"/>
      <x:c r="C8" s="2"/>
      <x:c r="D8" s="2"/>
      <x:c r="E8" s="2"/>
    </x:row>
    <x:row r="9" ht="23" customHeight="1">
      <x:c r="A9" s="2"/>
      <x:c r="B9" s="8"/>
      <x:c r="C9" s="2"/>
      <x:c r="D9" s="2"/>
      <x:c r="E9" s="2"/>
    </x:row>
    <x:row r="10" ht="55" customHeight="1">
      <x:c r="A10" s="2" t="str">
        <x:v>Published export control</x:v>
      </x:c>
      <x:c r="B10" s="8" t="n">
        <x:f>'Evidence'!D28</x:f>
        <x:v>49212181</x:v>
      </x:c>
      <x:c r="C10" s="2" t="str">
        <x:v>1904</x:v>
      </x:c>
      <x:c r="D10" s="2"/>
      <x:c r="E10" s="10" t="str">
        <x:v>£360 export discrepancy remains. No correction or balancing entry has been inserted.</x:v>
      </x:c>
    </x:row>
    <x:row r="11" ht="23" customHeight="1">
      <x:c r="A11" s="2" t="str">
        <x:v>HNAG less published control</x:v>
      </x:c>
      <x:c r="B11" s="8" t="n">
        <x:f>B5-B10</x:f>
        <x:v>-360</x:v>
      </x:c>
      <x:c r="C11" s="2" t="str">
        <x:v>1904</x:v>
      </x:c>
      <x:c r="D11" s="2"/>
      <x:c r="E11" s="2"/>
    </x:row>
    <x:row r="12" ht="55" customHeight="1">
      <x:c r="A12" s="2" t="str">
        <x:v>Later revised export figure</x:v>
      </x:c>
      <x:c r="B12" s="8" t="n">
        <x:f>'Evidence'!D29</x:f>
        <x:v>49784760</x:v>
      </x:c>
      <x:c r="C12" s="2" t="str">
        <x:v>1904</x:v>
      </x:c>
      <x:c r="D12" s="2"/>
      <x:c r="E12" s="10" t="str">
        <x:v>Revision evidence only. A matched later-vintage import figure is needed before adopting this export total.</x:v>
      </x:c>
    </x:row>
    <x:row r="13" ht="23" customHeight="1">
      <x:c r="A13" s="2"/>
      <x:c r="B13" s="8"/>
      <x:c r="C13" s="2"/>
      <x:c r="D13" s="2"/>
      <x:c r="E13" s="2"/>
    </x:row>
    <x:row r="14" ht="23" customHeight="1">
      <x:c r="A14" s="2"/>
      <x:c r="B14" s="8"/>
      <x:c r="C14" s="2"/>
      <x:c r="D14" s="2"/>
      <x:c r="E14" s="2"/>
    </x:row>
    <x:row r="15" ht="55" customHeight="1">
      <x:c r="A15" s="2" t="str">
        <x:v>1901 exports adopted for account</x:v>
      </x:c>
      <x:c r="B15" s="8" t="n">
        <x:f>B5</x:f>
        <x:v>49211821</x:v>
      </x:c>
      <x:c r="C15" s="10" t="str">
        <x:v>1901 proxy: 1904</x:v>
      </x:c>
      <x:c r="D15" s="2"/>
      <x:c r="E15" s="10" t="str">
        <x:v>Working assumption agreed 11 October 2026: use the HNAG 1904 values unchanged as proxies for 1901. No price or quantity adjustment. Source year remains 1904.</x:v>
      </x:c>
    </x:row>
    <x:row r="16" ht="23" customHeight="1">
      <x:c r="A16" s="2" t="str">
        <x:v>1901 imports adopted for account</x:v>
      </x:c>
      <x:c r="B16" s="8" t="n">
        <x:f>B6</x:f>
        <x:v>53308558</x:v>
      </x:c>
      <x:c r="C16" s="10" t="str">
        <x:v>1901 proxy: 1904</x:v>
      </x:c>
      <x:c r="D16" s="2"/>
      <x:c r="E16" s="2"/>
    </x:row>
    <x:row r="17" ht="55" customHeight="1">
      <x:c r="A17" s="14" t="str">
        <x:v>1901 merchandise balance</x:v>
      </x:c>
      <x:c r="B17" s="15" t="n">
        <x:f>IF(COUNT(B15:B16)=2,B15-B16,"n.a.")</x:f>
        <x:v>-4096737</x:v>
      </x:c>
      <x:c r="C17" s="22" t="str">
        <x:v>1901 proxy: 1904</x:v>
      </x:c>
      <x:c r="D17" s="2"/>
      <x:c r="E17" s="10" t="str">
        <x:v>Both flows must be estimated on compatible valuation and coverage bases. Separate freight/insurance only after checking c.i.f./f.o.b. conventions.</x:v>
      </x:c>
    </x:row>
    <x:row r="18" ht="23" customHeight="1">
      <x:c r="A18" s="2"/>
      <x:c r="B18" s="2"/>
      <x:c r="C18" s="2"/>
      <x:c r="D18" s="2"/>
      <x:c r="E18" s="2"/>
    </x:row>
    <x:row r="19" ht="23" customHeight="1">
      <x:c r="A19" s="2"/>
      <x:c r="B19" s="2"/>
      <x:c r="C19" s="2"/>
      <x:c r="D19" s="2"/>
      <x:c r="E19" s="2"/>
    </x:row>
    <x:row r="20" ht="23" customHeight="1">
      <x:c r="A20" s="2"/>
      <x:c r="B20" s="2"/>
      <x:c r="C20" s="2"/>
      <x:c r="D20" s="2"/>
      <x:c r="E20" s="2"/>
    </x:row>
    <x:row r="21" ht="55" customHeight="1">
      <x:c r="A21" s="2"/>
      <x:c r="B21" s="2"/>
      <x:c r="C21" s="2"/>
      <x:c r="D21" s="2"/>
      <x:c r="E21" s="10" t="str">
        <x:v>Includes trade with Great Britain and overseas, not merely direct overseas customs trade. Check government procurement and ship sales before adding separate credits.</x:v>
      </x:c>
    </x:row>
    <x:row r="22" ht="23" customHeight="1">
      <x:c r="A22" s="2"/>
      <x:c r="B22" s="2"/>
      <x:c r="C22" s="2"/>
      <x:c r="D22" s="2"/>
      <x:c r="E22" s="2"/>
    </x:row>
    <x:row r="23" ht="23" customHeight="1">
      <x:c r="A23" s="2"/>
      <x:c r="B23" s="2"/>
      <x:c r="C23" s="2"/>
      <x:c r="D23" s="2"/>
      <x:c r="E23" s="2"/>
    </x:row>
    <x:row r="24" ht="23" customHeight="1">
      <x:c r="A24" s="2"/>
      <x:c r="B24" s="2"/>
      <x:c r="C24" s="2"/>
      <x:c r="D24" s="2"/>
      <x:c r="E24" s="2"/>
    </x:row>
    <x:row r="25" ht="23" customHeight="1">
      <x:c r="A25" s="2"/>
      <x:c r="B25" s="2"/>
      <x:c r="C25" s="2"/>
      <x:c r="D25" s="2"/>
      <x:c r="E25" s="2"/>
    </x:row>
    <x:row r="26" ht="23" customHeight="1">
      <x:c r="A26" s="2"/>
      <x:c r="B26" s="2"/>
      <x:c r="C26" s="2"/>
      <x:c r="D26" s="2"/>
      <x:c r="E26" s="2"/>
    </x:row>
    <x:row r="27" ht="23" customHeight="1">
      <x:c r="A27" s="2"/>
      <x:c r="B27" s="2"/>
      <x:c r="C27" s="2"/>
      <x:c r="D27" s="2"/>
      <x:c r="E27" s="2"/>
    </x:row>
    <x:row r="28" ht="23" customHeight="1">
      <x:c r="A28" s="2"/>
      <x:c r="B28" s="2"/>
      <x:c r="C28" s="2"/>
      <x:c r="D28" s="2"/>
      <x:c r="E28" s="2"/>
    </x:row>
    <x:row r="29" ht="23" customHeight="1">
      <x:c r="A29" s="2"/>
      <x:c r="B29" s="2"/>
      <x:c r="C29" s="2"/>
      <x:c r="D29" s="2"/>
      <x:c r="E29" s="2"/>
    </x:row>
    <x:row r="30" ht="23" customHeight="1">
      <x:c r="A30" s="2"/>
      <x:c r="B30" s="2"/>
      <x:c r="C30" s="2"/>
      <x:c r="D30" s="2"/>
      <x:c r="E30" s="2"/>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9" hidden="0" customWidth="1"/>
    <x:col min="2" max="2" width="38" hidden="0" customWidth="1"/>
    <x:col min="3" max="3" width="17" hidden="0" customWidth="1"/>
    <x:col min="4" max="4" width="18" hidden="0" customWidth="1"/>
    <x:col min="5" max="5" width="16" hidden="0" customWidth="1"/>
    <x:col min="6" max="6" width="42" hidden="0" customWidth="1"/>
    <x:col min="7" max="7" width="60" hidden="0" customWidth="1"/>
    <x:col min="8" max="8" width="5" hidden="0" customWidth="1"/>
    <x:col min="9" max="9" width="105" hidden="0" customWidth="1"/>
  </x:cols>
  <x:sheetData>
    <x:row r="1" ht="23" customHeight="1">
      <x:c r="A1" s="2"/>
      <x:c r="B1" s="2"/>
      <x:c r="C1" s="2"/>
      <x:c r="D1" s="2"/>
      <x:c r="E1" s="2"/>
      <x:c r="F1" s="2"/>
      <x:c r="G1" s="2"/>
      <x:c r="H1" s="2"/>
      <x:c r="I1" s="2"/>
    </x:row>
    <x:row r="2" ht="23" customHeight="1">
      <x:c r="A2" s="3" t="str">
        <x:v>Evidence register</x:v>
      </x:c>
      <x:c r="B2" s="2"/>
      <x:c r="C2" s="2"/>
      <x:c r="D2" s="2"/>
      <x:c r="E2" s="2"/>
      <x:c r="F2" s="2"/>
      <x:c r="G2" s="2"/>
      <x:c r="H2" s="2"/>
      <x:c r="I2" s="2"/>
    </x:row>
    <x:row r="3" ht="23" customHeight="1">
      <x:c r="A3" s="4"/>
      <x:c r="B3" s="4"/>
      <x:c r="C3" s="4"/>
      <x:c r="D3" s="4"/>
      <x:c r="E3" s="4"/>
      <x:c r="F3" s="4"/>
      <x:c r="G3" s="4"/>
      <x:c r="H3" s="4"/>
      <x:c r="I3" s="4"/>
    </x:row>
    <x:row r="4" ht="30" customHeight="1">
      <x:c r="A4" s="7" t="str">
        <x:v>ID</x:v>
      </x:c>
      <x:c r="B4" s="7" t="str">
        <x:v>Observation</x:v>
      </x:c>
      <x:c r="C4" s="7" t="str">
        <x:v>Source period</x:v>
      </x:c>
      <x:c r="D4" s="7" t="str">
        <x:v>Raw value</x:v>
      </x:c>
      <x:c r="E4" s="7" t="str">
        <x:v>Unit</x:v>
      </x:c>
      <x:c r="F4" s="7" t="str">
        <x:v>Coverage / status</x:v>
      </x:c>
      <x:c r="G4" s="7" t="str">
        <x:v>Use in reconstruction</x:v>
      </x:c>
      <x:c r="H4" s="2"/>
      <x:c r="I4" s="2" t="str">
        <x:v>Source and locator</x:v>
      </x:c>
    </x:row>
    <x:row r="5" ht="65" customHeight="1">
      <x:c r="A5" s="2" t="str">
        <x:v>E01</x:v>
      </x:c>
      <x:c r="B5" s="10" t="str">
        <x:v>Irish revenue as contributed</x:v>
      </x:c>
      <x:c r="C5" s="10" t="str">
        <x:v>1900–01</x:v>
      </x:c>
      <x:c r="D5" s="8" t="n">
        <x:v>9505000</x:v>
      </x:c>
      <x:c r="E5" s="2" t="str">
        <x:v>GBP</x:v>
      </x:c>
      <x:c r="F5" s="10" t="str">
        <x:v>Contemporary reproduction</x:v>
      </x:c>
      <x:c r="G5" s="10" t="str">
        <x:v>Fiscal starting input, pending original return</x:v>
      </x:c>
      <x:c r="H5" s="2"/>
      <x:c r="I5" s="10" t="str">
        <x:v>Brassey, appendix Tables I and V. https://en.wikisource.org/wiki/Problems_of_Empire/The_Finance_of_Federal_Government_for_the_United_Kingdom#APPENDIX.</x:v>
      </x:c>
    </x:row>
    <x:row r="6" ht="65" customHeight="1">
      <x:c r="A6" s="2" t="str">
        <x:v>E02</x:v>
      </x:c>
      <x:c r="B6" s="10" t="str">
        <x:v>Irish services: exchequer</x:v>
      </x:c>
      <x:c r="C6" s="10" t="str">
        <x:v>1900–01</x:v>
      </x:c>
      <x:c r="D6" s="8" t="n">
        <x:v>6904000</x:v>
      </x:c>
      <x:c r="E6" s="2" t="str">
        <x:v>GBP</x:v>
      </x:c>
      <x:c r="F6" s="10" t="str">
        <x:v>HNAG transcription</x:v>
      </x:c>
      <x:c r="G6" s="10" t="str">
        <x:v>Add local-taxation spending once</x:v>
      </x:c>
      <x:c r="H6" s="2"/>
      <x:c r="I6" s="10" t="str">
        <x:v>HNAG, p.1. BPP Accounts and Finances 1902 LV. https://ceph.ie/wp-content/uploads/2024/04/Summary-of-revenue-and-expenditure-exchequer-issues-1901.pdf</x:v>
      </x:c>
    </x:row>
    <x:row r="7" ht="65" customHeight="1">
      <x:c r="A7" s="2" t="str">
        <x:v>E03</x:v>
      </x:c>
      <x:c r="B7" s="10" t="str">
        <x:v>Irish services: local taxation</x:v>
      </x:c>
      <x:c r="C7" s="10" t="str">
        <x:v>1900–01</x:v>
      </x:c>
      <x:c r="D7" s="8" t="n">
        <x:v>402000</x:v>
      </x:c>
      <x:c r="E7" s="2" t="str">
        <x:v>GBP</x:v>
      </x:c>
      <x:c r="F7" s="10" t="str">
        <x:v>HNAG transcription</x:v>
      </x:c>
      <x:c r="G7" s="10" t="str">
        <x:v>Included in Irish-services total</x:v>
      </x:c>
      <x:c r="H7" s="2"/>
      <x:c r="I7" s="10" t="str">
        <x:v>HNAG p.1. https://ceph.ie/wp-content/uploads/2024/04/Summary-of-revenue-and-expenditure-exchequer-issues-1901.pdf</x:v>
      </x:c>
    </x:row>
    <x:row r="8" ht="65" customHeight="1">
      <x:c r="A8" s="2" t="str">
        <x:v>E04</x:v>
      </x:c>
      <x:c r="B8" s="10" t="str">
        <x:v>Irish services: published total</x:v>
      </x:c>
      <x:c r="C8" s="10" t="str">
        <x:v>1900–01</x:v>
      </x:c>
      <x:c r="D8" s="8" t="n">
        <x:v>7306000</x:v>
      </x:c>
      <x:c r="E8" s="2" t="str">
        <x:v>GBP</x:v>
      </x:c>
      <x:c r="F8" s="10" t="str">
        <x:v>Brassey and HNAG agree</x:v>
      </x:c>
      <x:c r="G8" s="10" t="str">
        <x:v>Independent reconciliation control</x:v>
      </x:c>
      <x:c r="H8" s="2"/>
      <x:c r="I8" s="10" t="str">
        <x:v>Brassey Table V; HNAG p.1. https://en.wikisource.org/wiki/Problems_of_Empire/The_Finance_of_Federal_Government_for_the_United_Kingdom#APPENDIX.</x:v>
      </x:c>
    </x:row>
    <x:row r="9" ht="65" customHeight="1">
      <x:c r="A9" s="2" t="str">
        <x:v>E05</x:v>
      </x:c>
      <x:c r="B9" s="10" t="str">
        <x:v>England and Wales: revenue</x:v>
      </x:c>
      <x:c r="C9" s="10" t="str">
        <x:v>1900–01</x:v>
      </x:c>
      <x:c r="D9" s="8" t="n">
        <x:v>113244000</x:v>
      </x:c>
      <x:c r="E9" s="2" t="str">
        <x:v>GBP</x:v>
      </x:c>
      <x:c r="F9" s="10" t="str">
        <x:v>Brassey opening summary</x:v>
      </x:c>
      <x:c r="G9" s="10" t="str">
        <x:v>Table V text has 113,224,000. This value reconciles its balance.</x:v>
      </x:c>
      <x:c r="H9" s="2"/>
      <x:c r="I9" s="10" t="str">
        <x:v>Opening summary and Table V. https://en.wikisource.org/wiki/Problems_of_Empire/The_Finance_of_Federal_Government_for_the_United_Kingdom#APPENDIX.</x:v>
      </x:c>
    </x:row>
    <x:row r="10" ht="65" customHeight="1">
      <x:c r="A10" s="2" t="str">
        <x:v>E06</x:v>
      </x:c>
      <x:c r="B10" s="10" t="str">
        <x:v>England and Wales: services</x:v>
      </x:c>
      <x:c r="C10" s="10" t="str">
        <x:v>1900–01</x:v>
      </x:c>
      <x:c r="D10" s="8" t="n">
        <x:v>34769000</x:v>
      </x:c>
      <x:c r="E10" s="2" t="str">
        <x:v>GBP</x:v>
      </x:c>
      <x:c r="F10" s="10" t="str">
        <x:v>Brassey Table V</x:v>
      </x:c>
      <x:c r="G10" s="10" t="str">
        <x:v>Domestic-services category</x:v>
      </x:c>
      <x:c r="H10" s="2"/>
      <x:c r="I10" s="10" t="str">
        <x:v>https://en.wikisource.org/wiki/Problems_of_Empire/The_Finance_of_Federal_Government_for_the_United_Kingdom#APPENDIX.</x:v>
      </x:c>
    </x:row>
    <x:row r="11" ht="65" customHeight="1">
      <x:c r="A11" s="2" t="str">
        <x:v>E07</x:v>
      </x:c>
      <x:c r="B11" s="10" t="str">
        <x:v>Scotland: revenue</x:v>
      </x:c>
      <x:c r="C11" s="10" t="str">
        <x:v>1900–01</x:v>
      </x:c>
      <x:c r="D11" s="8" t="n">
        <x:v>14919000</x:v>
      </x:c>
      <x:c r="E11" s="2" t="str">
        <x:v>GBP</x:v>
      </x:c>
      <x:c r="F11" s="10" t="str">
        <x:v>Brassey Table V</x:v>
      </x:c>
      <x:c r="G11" s="10" t="str">
        <x:v>Attributed revenue</x:v>
      </x:c>
      <x:c r="H11" s="2"/>
      <x:c r="I11" s="10" t="str">
        <x:v>https://en.wikisource.org/wiki/Problems_of_Empire/The_Finance_of_Federal_Government_for_the_United_Kingdom#APPENDIX.</x:v>
      </x:c>
    </x:row>
    <x:row r="12" ht="65" customHeight="1">
      <x:c r="A12" s="2" t="str">
        <x:v>E08</x:v>
      </x:c>
      <x:c r="B12" s="10" t="str">
        <x:v>Scotland: services</x:v>
      </x:c>
      <x:c r="C12" s="10" t="str">
        <x:v>1900–01</x:v>
      </x:c>
      <x:c r="D12" s="8" t="n">
        <x:v>4961000</x:v>
      </x:c>
      <x:c r="E12" s="2" t="str">
        <x:v>GBP</x:v>
      </x:c>
      <x:c r="F12" s="10" t="str">
        <x:v>Brassey Table V</x:v>
      </x:c>
      <x:c r="G12" s="10" t="str">
        <x:v>Domestic-services category</x:v>
      </x:c>
      <x:c r="H12" s="2"/>
      <x:c r="I12" s="10" t="str">
        <x:v>https://en.wikisource.org/wiki/Problems_of_Empire/The_Finance_of_Federal_Government_for_the_United_Kingdom#APPENDIX.</x:v>
      </x:c>
    </x:row>
    <x:row r="13" ht="65" customHeight="1">
      <x:c r="A13" s="2" t="str">
        <x:v>E09</x:v>
      </x:c>
      <x:c r="B13" s="10" t="str">
        <x:v>Irish revenue: alternative</x:v>
      </x:c>
      <x:c r="C13" s="10" t="str">
        <x:v>1900–01</x:v>
      </x:c>
      <x:c r="D13" s="8" t="n">
        <x:v>9521000</x:v>
      </x:c>
      <x:c r="E13" s="2" t="str">
        <x:v>GBP</x:v>
      </x:c>
      <x:c r="F13" s="10" t="str">
        <x:v>Scotfact transcription</x:v>
      </x:c>
      <x:c r="G13" s="10" t="str">
        <x:v>Preserve £16,000 difference for verification</x:v>
      </x:c>
      <x:c r="H13" s="2"/>
      <x:c r="I13" s="10" t="str">
        <x:v>Revenue as Contributed table. https://www.scotfact.com/article_scotland20thCentury_data</x:v>
      </x:c>
    </x:row>
    <x:row r="14" ht="65" customHeight="1">
      <x:c r="A14" s="2" t="str">
        <x:v>E10</x:v>
      </x:c>
      <x:c r="B14" s="10" t="str">
        <x:v>Irish revenue as collected</x:v>
      </x:c>
      <x:c r="C14" s="10" t="str">
        <x:v>1900–01</x:v>
      </x:c>
      <x:c r="D14" s="8" t="n">
        <x:v>11834000</x:v>
      </x:c>
      <x:c r="E14" s="2" t="str">
        <x:v>GBP</x:v>
      </x:c>
      <x:c r="F14" s="10" t="str">
        <x:v>Scotfact transcription</x:v>
      </x:c>
      <x:c r="G14" s="10" t="str">
        <x:v>Do not substitute for attributed revenue</x:v>
      </x:c>
      <x:c r="H14" s="2"/>
      <x:c r="I14" s="10" t="str">
        <x:v>Revenue as Collected table. https://www.scotfact.com/article_scotland20thCentury_data</x:v>
      </x:c>
    </x:row>
    <x:row r="15" ht="65" customHeight="1">
      <x:c r="A15" s="2" t="str">
        <x:v>E11</x:v>
      </x:c>
      <x:c r="B15" s="10" t="str">
        <x:v>Ireland population</x:v>
      </x:c>
      <x:c r="C15" s="10" t="str">
        <x:v>1901</x:v>
      </x:c>
      <x:c r="D15" s="8" t="n">
        <x:v>4458775</x:v>
      </x:c>
      <x:c r="E15" s="2" t="str">
        <x:v>persons</x:v>
      </x:c>
      <x:c r="F15" s="10" t="str">
        <x:v>All island, census</x:v>
      </x:c>
      <x:c r="G15" s="10" t="str">
        <x:v>Per-capita denominator</x:v>
      </x:c>
      <x:c r="H15" s="2"/>
      <x:c r="I15" s="10" t="str">
        <x:v>1911 Census General Report, historical population. https://www.cso.ie/en/media/csoie/releasespublications/documents/ep/storiesfromcensus1911/census1911originalreports/459-General_report%2C_Ireland%2C_1911.pdf</x:v>
      </x:c>
    </x:row>
    <x:row r="16" ht="65" customHeight="1">
      <x:c r="A16" s="2" t="str">
        <x:v>E12</x:v>
      </x:c>
      <x:c r="B16" s="10" t="str">
        <x:v>England and Wales population</x:v>
      </x:c>
      <x:c r="C16" s="10" t="str">
        <x:v>1901</x:v>
      </x:c>
      <x:c r="D16" s="8" t="n">
        <x:v>32527843</x:v>
      </x:c>
      <x:c r="E16" s="2" t="str">
        <x:v>persons</x:v>
      </x:c>
      <x:c r="F16" s="10" t="str">
        <x:v>Census</x:v>
      </x:c>
      <x:c r="G16" s="10" t="str">
        <x:v>Per-capita denominator</x:v>
      </x:c>
      <x:c r="H16" s="2"/>
      <x:c r="I16" s="10" t="str">
        <x:v>1901 Census General Report, Population. https://www.visionofbritain.org.uk/census/EW1901GEN/4</x:v>
      </x:c>
    </x:row>
    <x:row r="17" ht="65" customHeight="1">
      <x:c r="A17" s="2" t="str">
        <x:v>E13</x:v>
      </x:c>
      <x:c r="B17" s="10" t="str">
        <x:v>Scotland population</x:v>
      </x:c>
      <x:c r="C17" s="10" t="str">
        <x:v>1901</x:v>
      </x:c>
      <x:c r="D17" s="8" t="n">
        <x:v>4472103</x:v>
      </x:c>
      <x:c r="E17" s="2" t="str">
        <x:v>persons</x:v>
      </x:c>
      <x:c r="F17" s="10" t="str">
        <x:v>Census</x:v>
      </x:c>
      <x:c r="G17" s="10" t="str">
        <x:v>Per-capita denominator</x:v>
      </x:c>
      <x:c r="H17" s="2"/>
      <x:c r="I17" s="10" t="str">
        <x:v>https://nrscotland.gov.uk/learning-and-events/research-guides/census-1901/</x:v>
      </x:c>
    </x:row>
    <x:row r="18" ht="65" customHeight="1">
      <x:c r="A18" s="2" t="str">
        <x:v>E14</x:v>
      </x:c>
      <x:c r="B18" s="10" t="str">
        <x:v>Ireland nominal GDP</x:v>
      </x:c>
      <x:c r="C18" s="10" t="str">
        <x:v>1901</x:v>
      </x:c>
      <x:c r="D18" s="8" t="n">
        <x:v>149600000</x:v>
      </x:c>
      <x:c r="E18" s="2" t="str">
        <x:v>GBP</x:v>
      </x:c>
      <x:c r="F18" s="10" t="str">
        <x:v>Older Geary–Stark benchmark</x:v>
      </x:c>
      <x:c r="G18" s="10" t="str">
        <x:v>Older comparison only; superseded in headline ratios by the matched Millennium vintage.</x:v>
      </x:c>
      <x:c r="H18" s="2"/>
      <x:c r="I18" s="10" t="str">
        <x:v>Crafts (2004), Table 1 p.10, current prices, adopting Geary–Stark (2002). https://eprints.lse.ac.uk/22557/1/0304Crafts.pdf</x:v>
      </x:c>
    </x:row>
    <x:row r="19" ht="65" customHeight="1">
      <x:c r="A19" s="2" t="str">
        <x:v>E15</x:v>
      </x:c>
      <x:c r="B19" s="10" t="str">
        <x:v>UK nominal GDP</x:v>
      </x:c>
      <x:c r="C19" s="10" t="str">
        <x:v>1901</x:v>
      </x:c>
      <x:c r="D19" s="8" t="n">
        <x:v>2049000000</x:v>
      </x:c>
      <x:c r="E19" s="2" t="str">
        <x:v>GBP</x:v>
      </x:c>
      <x:c r="F19" s="10" t="str">
        <x:v>Includes all Ireland</x:v>
      </x:c>
      <x:c r="G19" s="10" t="str">
        <x:v>Older comparison only; see GDP basis.</x:v>
      </x:c>
      <x:c r="H19" s="2"/>
      <x:c r="I19" s="10" t="str">
        <x:v>Crafts (2004), Table 1 p.10; UK nominal total from Mitchell. https://eprints.lse.ac.uk/22557/1/0304Crafts.pdf</x:v>
      </x:c>
    </x:row>
    <x:row r="20" ht="65" customHeight="1">
      <x:c r="A20" s="2" t="str">
        <x:v>E16</x:v>
      </x:c>
      <x:c r="B20" s="10" t="str">
        <x:v>Scotland nominal GDP</x:v>
      </x:c>
      <x:c r="C20" s="10" t="str">
        <x:v>1901</x:v>
      </x:c>
      <x:c r="D20" s="8" t="n">
        <x:v>225400000</x:v>
      </x:c>
      <x:c r="E20" s="2" t="str">
        <x:v>GBP</x:v>
      </x:c>
      <x:c r="F20" s="10" t="str">
        <x:v>Older Geary–Stark benchmark</x:v>
      </x:c>
      <x:c r="G20" s="10" t="str">
        <x:v>Older comparison only; see GDP basis.</x:v>
      </x:c>
      <x:c r="H20" s="2"/>
      <x:c r="I20" s="10" t="str">
        <x:v>Crafts (2004), Table 1 p.10. https://eprints.lse.ac.uk/22557/1/0304Crafts.pdf</x:v>
      </x:c>
    </x:row>
    <x:row r="21" ht="65" customHeight="1">
      <x:c r="A21" s="2" t="str">
        <x:v>E17</x:v>
      </x:c>
      <x:c r="B21" s="10" t="str">
        <x:v>Connaught seasonal earnings brought home</x:v>
      </x:c>
      <x:c r="C21" s="10" t="str">
        <x:v>c.1901</x:v>
      </x:c>
      <x:c r="D21" s="8" t="n">
        <x:v>205616</x:v>
      </x:c>
      <x:c r="E21" s="2" t="str">
        <x:v>GBP</x:v>
      </x:c>
      <x:c r="F21" s="10" t="str">
        <x:v>Partial geography; parliamentary claim</x:v>
      </x:c>
      <x:c r="G21" s="10" t="str">
        <x:v>Candidate net cash inflow. Underlying reference year unconfirmed.</x:v>
      </x:c>
      <x:c r="H21" s="2"/>
      <x:c r="I21" s="10" t="str">
        <x:v>Irish Land Question, 24 Jan 1902. https://hansard.parliament.uk/%E2%80%8CCommons/1902-01-24/debates/49b63972-856a-4bef-a90d-2352cf8ff887/IrishLandQuestion</x:v>
      </x:c>
    </x:row>
    <x:row r="22" ht="65" customHeight="1">
      <x:c r="A22" s="2" t="str">
        <x:v>E18</x:v>
      </x:c>
      <x:c r="B22" s="10" t="str">
        <x:v>Connaught migratory workers</x:v>
      </x:c>
      <x:c r="C22" s="10" t="str">
        <x:v>c.1901</x:v>
      </x:c>
      <x:c r="D22" s="8" t="n">
        <x:v>27234</x:v>
      </x:c>
      <x:c r="E22" s="2" t="str">
        <x:v>persons</x:v>
      </x:c>
      <x:c r="F22" s="10" t="str">
        <x:v>Same speech as E17</x:v>
      </x:c>
      <x:c r="G22" s="10" t="str">
        <x:v>Not an all-Ireland count</x:v>
      </x:c>
      <x:c r="H22" s="2"/>
      <x:c r="I22" s="10" t="str">
        <x:v>https://hansard.parliament.uk/%E2%80%8CCommons/1902-01-24/debates/49b63972-856a-4bef-a90d-2352cf8ff887/IrishLandQuestion</x:v>
      </x:c>
    </x:row>
    <x:row r="23" ht="65" customHeight="1">
      <x:c r="A23" s="2" t="str">
        <x:v>E19</x:v>
      </x:c>
      <x:c r="B23" s="10" t="str">
        <x:v>Reported average brought home</x:v>
      </x:c>
      <x:c r="C23" s="10" t="str">
        <x:v>c.1901</x:v>
      </x:c>
      <x:c r="D23" s="9" t="n">
        <x:v>7.55</x:v>
      </x:c>
      <x:c r="E23" s="2" t="str">
        <x:v>GBP/person</x:v>
      </x:c>
      <x:c r="F23" s="10" t="str">
        <x:v>£7 11s, rounded</x:v>
      </x:c>
      <x:c r="G23" s="10" t="str">
        <x:v>Reconcile with E17. Not gross annual compensation.</x:v>
      </x:c>
      <x:c r="H23" s="2"/>
      <x:c r="I23" s="10" t="str">
        <x:v>https://hansard.parliament.uk/%E2%80%8CCommons/1902-01-24/debates/49b63972-856a-4bef-a90d-2352cf8ff887/IrishLandQuestion</x:v>
      </x:c>
    </x:row>
    <x:row r="24" ht="65" customHeight="1">
      <x:c r="A24" s="2" t="str">
        <x:v>E20</x:v>
      </x:c>
      <x:c r="B24" s="10" t="str">
        <x:v>US remittances to Ireland</x:v>
      </x:c>
      <x:c r="C24" s="10" t="str">
        <x:v>1906</x:v>
      </x:c>
      <x:c r="D24" s="8" t="n">
        <x:v>10000000</x:v>
      </x:c>
      <x:c r="E24" s="2" t="str">
        <x:v>USD</x:v>
      </x:c>
      <x:c r="F24" s="10" t="str">
        <x:v>Approximate contemporary estimate</x:v>
      </x:c>
      <x:c r="G24" s="10" t="str">
        <x:v>Adopted unchanged as working 1901 remittance proxy, user instruction 11 October 2026.</x:v>
      </x:c>
      <x:c r="H24" s="2"/>
      <x:c r="I24" s="10" t="str">
        <x:v>The Credit of Nations and The Trade Balance of the United States, p.183 note. https://fraser.stlouisfed.org/title/credit-nations-trade-balance-united-states-620/fulltext</x:v>
      </x:c>
    </x:row>
    <x:row r="25" ht="65" customHeight="1">
      <x:c r="A25" s="2" t="str">
        <x:v>E21</x:v>
      </x:c>
      <x:c r="B25" s="10" t="str">
        <x:v>US remittances through banks</x:v>
      </x:c>
      <x:c r="C25" s="10" t="str">
        <x:v>1906</x:v>
      </x:c>
      <x:c r="D25" s="8" t="n">
        <x:v>5500000</x:v>
      </x:c>
      <x:c r="E25" s="2" t="str">
        <x:v>USD</x:v>
      </x:c>
      <x:c r="F25" s="10" t="str">
        <x:v>Component of E20</x:v>
      </x:c>
      <x:c r="G25" s="10" t="str">
        <x:v>Do not add to E20</x:v>
      </x:c>
      <x:c r="H25" s="2"/>
      <x:c r="I25" s="10" t="str">
        <x:v>Same p.183 note. https://fraser.stlouisfed.org/title/credit-nations-trade-balance-united-states-620/fulltext</x:v>
      </x:c>
    </x:row>
    <x:row r="26" ht="65" customHeight="1">
      <x:c r="A26" s="2" t="str">
        <x:v>E22</x:v>
      </x:c>
      <x:c r="B26" s="10" t="str">
        <x:v>Schedule C assessed income</x:v>
      </x:c>
      <x:c r="C26" s="10" t="str">
        <x:v>1901</x:v>
      </x:c>
      <x:c r="D26" s="8" t="n">
        <x:v>616000</x:v>
      </x:c>
      <x:c r="E26" s="2" t="str">
        <x:v>GBP</x:v>
      </x:c>
      <x:c r="F26" s="10" t="str">
        <x:v>Quoted in 1904 debate</x:v>
      </x:c>
      <x:c r="G26" s="10" t="str">
        <x:v>Lead only. Assessment location does not identify residents or foreign income.</x:v>
      </x:c>
      <x:c r="H26" s="2"/>
      <x:c r="I26" s="10" t="str">
        <x:v>Finance Bill, 18 May 1904. https://api.parliament.uk/historic-hansard/commons/1904/may/18/finance-bill</x:v>
      </x:c>
    </x:row>
    <x:row r="27" ht="65" customHeight="1">
      <x:c r="A27" s="2" t="str">
        <x:v>E23</x:v>
      </x:c>
      <x:c r="B27" s="10" t="str">
        <x:v>Irish expenditure: debate alternative</x:v>
      </x:c>
      <x:c r="C27" s="10" t="str">
        <x:v>1900–01</x:v>
      </x:c>
      <x:c r="D27" s="8" t="n">
        <x:v>7268000</x:v>
      </x:c>
      <x:c r="E27" s="2" t="str">
        <x:v>GBP</x:v>
      </x:c>
      <x:c r="F27" s="10" t="str">
        <x:v>Parliamentary statement</x:v>
      </x:c>
      <x:c r="G27" s="10" t="str">
        <x:v>Different from HNAG by £38,000. Keep source versions separate.</x:v>
      </x:c>
      <x:c r="H27" s="2"/>
      <x:c r="I27" s="10" t="str">
        <x:v>Financial Relations, 18 July 1901. https://api.parliament.uk/historic-hansard/commons/1901/jul/18/financial-relations-of-great-britain-and</x:v>
      </x:c>
    </x:row>
    <x:row r="28" ht="65" customHeight="1">
      <x:c r="A28" s="2" t="str">
        <x:v>E24</x:v>
      </x:c>
      <x:c r="B28" s="10" t="str">
        <x:v>Published 1904 export control</x:v>
      </x:c>
      <x:c r="C28" s="10" t="str">
        <x:v>1904</x:v>
      </x:c>
      <x:c r="D28" s="8" t="n">
        <x:v>49212181</x:v>
      </x:c>
      <x:c r="E28" s="2" t="str">
        <x:v>GBP</x:v>
      </x:c>
      <x:c r="F28" s="10" t="str">
        <x:v>Contemporary 1905-report discussion</x:v>
      </x:c>
      <x:c r="G28" s="10" t="str">
        <x:v>Check against HNAG sum. £360 discrepancy retained.</x:v>
      </x:c>
      <x:c r="H28" s="2"/>
      <x:c r="I28" s="10" t="str">
        <x:v>Oldham, Economics of Industrial Revival, discussion of 1905 report. https://www.tara.tcd.ie/bitstreams/28069c61-813a-4e79-8e67-9ddc49b205dc/download</x:v>
      </x:c>
    </x:row>
    <x:row r="29" ht="65" customHeight="1">
      <x:c r="A29" s="2" t="str">
        <x:v>E25</x:v>
      </x:c>
      <x:c r="B29" s="10" t="str">
        <x:v>Later revised 1904 exports</x:v>
      </x:c>
      <x:c r="C29" s="10" t="str">
        <x:v>1904</x:v>
      </x:c>
      <x:c r="D29" s="8" t="n">
        <x:v>49784760</x:v>
      </x:c>
      <x:c r="E29" s="2" t="str">
        <x:v>GBP</x:v>
      </x:c>
      <x:c r="F29" s="10" t="str">
        <x:v>Later vintage</x:v>
      </x:c>
      <x:c r="G29" s="10" t="str">
        <x:v>Do not pair with an earlier import vintage</x:v>
      </x:c>
      <x:c r="H29" s="2"/>
      <x:c r="I29" s="10" t="str">
        <x:v>Oldham, Irish Trade during the War, revision table p.542. https://www.tara.tcd.ie/bitstreams/d9245105-097a-4a50-885e-bebb09092010/download</x:v>
      </x:c>
    </x:row>
    <x:row r="30" ht="65" customHeight="1">
      <x:c r="A30" s="2" t="str">
        <x:v>E26</x:v>
      </x:c>
      <x:c r="B30" s="10" t="str">
        <x:v>Migratory labourers: home enumeration</x:v>
      </x:c>
      <x:c r="C30" s="10" t="str">
        <x:v>1904</x:v>
      </x:c>
      <x:c r="D30" s="8" t="n">
        <x:v>17589</x:v>
      </x:c>
      <x:c r="E30" s="2" t="str">
        <x:v>persons</x:v>
      </x:c>
      <x:c r="F30" s="10" t="str">
        <x:v>Includes workers staying within Ireland</x:v>
      </x:c>
      <x:c r="G30" s="10" t="str">
        <x:v>No direct 1901 total. Compare transport counts, do not add them.</x:v>
      </x:c>
      <x:c r="H30" s="2"/>
      <x:c r="I30" s="10" t="str">
        <x:v>Wilson Fox, section V, p.27 in HNAG PDF. https://ceph.ie/wp-content/uploads/2024/04/Wilson-Fox.pdf</x:v>
      </x:c>
    </x:row>
    <x:row r="31" ht="65" customHeight="1">
      <x:c r="A31" s="2" t="str">
        <x:v>E27</x:v>
      </x:c>
      <x:c r="B31" s="10" t="str">
        <x:v>Migratory labourers: transport returns</x:v>
      </x:c>
      <x:c r="C31" s="10" t="str">
        <x:v>1904</x:v>
      </x:c>
      <x:c r="D31" s="8" t="n">
        <x:v>33470</x:v>
      </x:c>
      <x:c r="E31" s="2" t="str">
        <x:v>journeys / reported workers</x:v>
      </x:c>
      <x:c r="F31" s="10" t="str">
        <x:v>Repeat visits contaminate total</x:v>
      </x:c>
      <x:c r="G31" s="10" t="str">
        <x:v>Not an independent additional set of workers</x:v>
      </x:c>
      <x:c r="H31" s="2"/>
      <x:c r="I31" s="10" t="str">
        <x:v>Wilson Fox, section V, p.27, citing Cd.2322 (1904). https://ceph.ie/wp-content/uploads/2024/04/Wilson-Fox.pdf</x:v>
      </x:c>
    </x:row>
    <x:row r="32" ht="80" customHeight="1">
      <x:c r="A32" s="2" t="str">
        <x:v>E28</x:v>
      </x:c>
      <x:c r="B32" s="10" t="str">
        <x:v>Sterling conversion at gold parity</x:v>
      </x:c>
      <x:c r="C32" s="10" t="str">
        <x:v>c.1901</x:v>
      </x:c>
      <x:c r="D32" s="41" t="n">
        <x:v>4.8665</x:v>
      </x:c>
      <x:c r="E32" s="2" t="str">
        <x:v>USD/GBP</x:v>
      </x:c>
      <x:c r="F32" s="10" t="str">
        <x:v>Conversion assumption</x:v>
      </x:c>
      <x:c r="G32" s="10" t="str">
        <x:v>Use parity to convert adopted dollar remittances</x:v>
      </x:c>
      <x:c r="H32" s="2"/>
      <x:c r="I32" s="10" t="str">
        <x:v>US Director of the Mint report, table for year ended June 1901, exchange-at-par heading. https://fraser.stlouisfed.org/files/docs/publications/treasar/pages/59129_1900-1904.pdf</x:v>
      </x:c>
    </x:row>
    <x:row r="33" ht="80" customHeight="1">
      <x:c r="A33" s="2" t="str">
        <x:v>E29</x:v>
      </x:c>
      <x:c r="B33" s="10" t="str">
        <x:v>Adopted remittance receipts</x:v>
      </x:c>
      <x:c r="C33" s="10" t="str">
        <x:v>1901 proxy</x:v>
      </x:c>
      <x:c r="D33" s="8" t="n">
        <x:f>D24/D32</x:f>
        <x:v>2054864.8926333094</x:v>
      </x:c>
      <x:c r="E33" s="2" t="str">
        <x:v>GBP</x:v>
      </x:c>
      <x:c r="F33" s="10" t="str">
        <x:v>US 1906 amount adopted for 1901</x:v>
      </x:c>
      <x:c r="G33" s="10" t="str">
        <x:v>Receipts entered. No additional GB uplift or separate bank/postal addition.</x:v>
      </x:c>
      <x:c r="H33" s="2"/>
      <x:c r="I33" s="10" t="str">
        <x:v>E20 / E28. User adoption 11 October 2026. https://fraser.stlouisfed.org/title/credit-nations-trade-balance-united-states-620/fulltext</x:v>
      </x:c>
    </x:row>
    <x:row r="34" ht="23" customHeight="1">
      <x:c r="A34" s="2"/>
      <x:c r="B34" s="2"/>
      <x:c r="C34" s="2"/>
      <x:c r="D34" s="2"/>
      <x:c r="E34" s="2"/>
      <x:c r="F34" s="2"/>
      <x:c r="G34" s="2"/>
      <x:c r="H34" s="2"/>
      <x:c r="I34" s="2"/>
    </x:row>
    <x:row r="35" ht="23" customHeight="1">
      <x:c r="A35" s="2"/>
      <x:c r="B35" s="2"/>
      <x:c r="C35" s="2"/>
      <x:c r="D35" s="2"/>
      <x:c r="E35" s="2"/>
      <x:c r="F35" s="2"/>
      <x:c r="G35" s="2"/>
      <x:c r="H35" s="2"/>
      <x:c r="I35" s="2"/>
    </x:row>
    <x:row r="36" ht="23" customHeight="1">
      <x:c r="A36" s="2"/>
      <x:c r="B36" s="2"/>
      <x:c r="C36" s="2"/>
      <x:c r="D36" s="2"/>
      <x:c r="E36" s="2"/>
      <x:c r="F36" s="2"/>
      <x:c r="G36" s="2"/>
      <x:c r="H36" s="2"/>
      <x:c r="I36" s="2"/>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12" hidden="0" customWidth="1"/>
    <x:col min="3" max="3" width="63" hidden="0" customWidth="1"/>
    <x:col min="4" max="4" width="21" hidden="0" customWidth="1"/>
    <x:col min="5" max="5" width="20" hidden="0" customWidth="1"/>
    <x:col min="6" max="6" width="20" hidden="0" customWidth="1"/>
  </x:cols>
  <x:sheetData>
    <x:row r="1" ht="23" customHeight="1">
      <x:c r="A1" s="2"/>
      <x:c r="B1" s="2"/>
      <x:c r="C1" s="2"/>
      <x:c r="D1" s="2"/>
      <x:c r="E1" s="2"/>
      <x:c r="F1" s="2"/>
    </x:row>
    <x:row r="2" ht="23" customHeight="1">
      <x:c r="A2" s="3" t="str">
        <x:v>HNAG 1904 trade transcription</x:v>
      </x:c>
      <x:c r="B2" s="2"/>
      <x:c r="C2" s="2"/>
      <x:c r="D2" s="2"/>
      <x:c r="E2" s="2"/>
      <x:c r="F2" s="2"/>
    </x:row>
    <x:row r="3" ht="23" customHeight="1">
      <x:c r="A3" s="4"/>
      <x:c r="B3" s="4"/>
      <x:c r="C3" s="4"/>
      <x:c r="D3" s="4"/>
      <x:c r="E3" s="4"/>
      <x:c r="F3" s="4"/>
    </x:row>
    <x:row r="4" ht="30" customHeight="1">
      <x:c r="A4" s="7" t="str">
        <x:v>Direction</x:v>
      </x:c>
      <x:c r="B4" s="7" t="str">
        <x:v>Source row</x:v>
      </x:c>
      <x:c r="C4" s="7" t="str">
        <x:v>Commodity / original text</x:v>
      </x:c>
      <x:c r="D4" s="7" t="str">
        <x:v>Quantity unit</x:v>
      </x:c>
      <x:c r="E4" s="7" t="str">
        <x:v>Quantity</x:v>
      </x:c>
      <x:c r="F4" s="7" t="str">
        <x:v>Value (£)</x:v>
      </x:c>
    </x:row>
    <x:row r="5" ht="23" customHeight="1">
      <x:c r="A5" s="2" t="str">
        <x:v>Imports</x:v>
      </x:c>
      <x:c r="B5" s="2" t="n">
        <x:v>1</x:v>
      </x:c>
      <x:c r="C5" s="2" t="str">
        <x:v>IMPORTS</x:v>
      </x:c>
      <x:c r="D5" s="2"/>
      <x:c r="E5" s="8"/>
      <x:c r="F5" s="8"/>
    </x:row>
    <x:row r="6" ht="70" customHeight="1">
      <x:c r="A6" s="2" t="str">
        <x:v>Imports</x:v>
      </x:c>
      <x:c r="B6" s="2" t="n">
        <x:v>2</x:v>
      </x:c>
      <x:c r="C6" s="10" t="str">
        <x:v>TABLE III. - COMPARATIVE STATEMENT showing the TOTAL QUANTITIES and ESTIMATED VALUEOF GOODS and LIVE STOCK IMPORTED into IRELAND in the YEAR 1904</x:v>
      </x:c>
      <x:c r="D6" s="2"/>
      <x:c r="E6" s="8"/>
      <x:c r="F6" s="8"/>
    </x:row>
    <x:row r="7" ht="70" customHeight="1">
      <x:c r="A7" s="2" t="str">
        <x:v>Imports</x:v>
      </x:c>
      <x:c r="B7" s="2" t="n">
        <x:v>3</x:v>
      </x:c>
      <x:c r="C7" s="10" t="str">
        <x:v>(1905; 1907 Vol. Lxxxi. Pages 116 - 127)</x:v>
      </x:c>
      <x:c r="D7" s="2"/>
      <x:c r="E7" s="8"/>
      <x:c r="F7" s="8"/>
    </x:row>
    <x:row r="8" ht="23" customHeight="1">
      <x:c r="A8" s="2" t="str">
        <x:v>Imports</x:v>
      </x:c>
      <x:c r="B8" s="2" t="n">
        <x:v>4</x:v>
      </x:c>
      <x:c r="C8" s="2"/>
      <x:c r="D8" s="2"/>
      <x:c r="E8" s="8"/>
      <x:c r="F8" s="8"/>
    </x:row>
    <x:row r="9" ht="23" customHeight="1">
      <x:c r="A9" s="2" t="str">
        <x:v>Imports</x:v>
      </x:c>
      <x:c r="B9" s="2" t="n">
        <x:v>5</x:v>
      </x:c>
      <x:c r="C9" s="2"/>
      <x:c r="D9" s="2"/>
      <x:c r="E9" s="8"/>
      <x:c r="F9" s="8"/>
    </x:row>
    <x:row r="10" ht="23" customHeight="1">
      <x:c r="A10" s="2" t="str">
        <x:v>Imports</x:v>
      </x:c>
      <x:c r="B10" s="2" t="n">
        <x:v>6</x:v>
      </x:c>
      <x:c r="C10" s="2"/>
      <x:c r="D10" s="2"/>
      <x:c r="E10" s="8"/>
      <x:c r="F10" s="8"/>
    </x:row>
    <x:row r="11" ht="23" customHeight="1">
      <x:c r="A11" s="2" t="str">
        <x:v>Imports</x:v>
      </x:c>
      <x:c r="B11" s="2" t="n">
        <x:v>7</x:v>
      </x:c>
      <x:c r="C11" s="2"/>
      <x:c r="D11" s="2"/>
      <x:c r="E11" s="8"/>
      <x:c r="F11" s="8"/>
    </x:row>
    <x:row r="12" ht="23" customHeight="1">
      <x:c r="A12" s="2" t="str">
        <x:v>Imports</x:v>
      </x:c>
      <x:c r="B12" s="2" t="n">
        <x:v>8</x:v>
      </x:c>
      <x:c r="C12" s="2"/>
      <x:c r="D12" s="2" t="str">
        <x:v>Unit of Quantity</x:v>
      </x:c>
      <x:c r="E12" s="8" t="str">
        <x:v>Quantity (1904)</x:v>
      </x:c>
      <x:c r="F12" s="8" t="str">
        <x:v>Value (1904)</x:v>
      </x:c>
    </x:row>
    <x:row r="13" ht="23" customHeight="1">
      <x:c r="A13" s="2" t="str">
        <x:v>Imports</x:v>
      </x:c>
      <x:c r="B13" s="2" t="n">
        <x:v>9</x:v>
      </x:c>
      <x:c r="C13" s="2" t="str">
        <x:v>Commodity</x:v>
      </x:c>
      <x:c r="D13" s="2"/>
      <x:c r="E13" s="8"/>
      <x:c r="F13" s="8" t="str">
        <x:v>¬£</x:v>
      </x:c>
    </x:row>
    <x:row r="14" ht="23" customHeight="1">
      <x:c r="A14" s="2" t="str">
        <x:v>Imports</x:v>
      </x:c>
      <x:c r="B14" s="2" t="n">
        <x:v>10</x:v>
      </x:c>
      <x:c r="C14" s="2"/>
      <x:c r="D14" s="2"/>
      <x:c r="E14" s="8"/>
      <x:c r="F14" s="8"/>
    </x:row>
    <x:row r="15" ht="23" customHeight="1">
      <x:c r="A15" s="2" t="str">
        <x:v>Imports</x:v>
      </x:c>
      <x:c r="B15" s="2" t="n">
        <x:v>11</x:v>
      </x:c>
      <x:c r="C15" s="2"/>
      <x:c r="D15" s="2"/>
      <x:c r="E15" s="8"/>
      <x:c r="F15" s="8"/>
    </x:row>
    <x:row r="16" ht="23" customHeight="1">
      <x:c r="A16" s="2" t="str">
        <x:v>Imports</x:v>
      </x:c>
      <x:c r="B16" s="2" t="n">
        <x:v>12</x:v>
      </x:c>
      <x:c r="C16" s="2" t="str">
        <x:v>1. AERATED and MINERAL WATERS ----     </x:v>
      </x:c>
      <x:c r="D16" s="2" t="str">
        <x:v>cwts.</x:v>
      </x:c>
      <x:c r="E16" s="8" t="n">
        <x:v>34233</x:v>
      </x:c>
      <x:c r="F16" s="8" t="n">
        <x:v>27386</x:v>
      </x:c>
    </x:row>
    <x:row r="17" ht="23" customHeight="1">
      <x:c r="A17" s="2" t="str">
        <x:v>Imports</x:v>
      </x:c>
      <x:c r="B17" s="2" t="n">
        <x:v>13</x:v>
      </x:c>
      <x:c r="C17" s="2" t="str">
        <x:v>     </x:v>
      </x:c>
      <x:c r="D17" s="2"/>
      <x:c r="E17" s="8"/>
      <x:c r="F17" s="8"/>
    </x:row>
    <x:row r="18" ht="23" customHeight="1">
      <x:c r="A18" s="2" t="str">
        <x:v>Imports</x:v>
      </x:c>
      <x:c r="B18" s="2" t="n">
        <x:v>14</x:v>
      </x:c>
      <x:c r="C18" s="2" t="str">
        <x:v>     </x:v>
      </x:c>
      <x:c r="D18" s="2"/>
      <x:c r="E18" s="8"/>
      <x:c r="F18" s="8"/>
    </x:row>
    <x:row r="19" ht="23" customHeight="1">
      <x:c r="A19" s="2" t="str">
        <x:v>Imports</x:v>
      </x:c>
      <x:c r="B19" s="2" t="n">
        <x:v>15</x:v>
      </x:c>
      <x:c r="C19" s="2" t="str">
        <x:v>     </x:v>
      </x:c>
      <x:c r="D19" s="2"/>
      <x:c r="E19" s="8"/>
      <x:c r="F19" s="8"/>
    </x:row>
    <x:row r="20" ht="23" customHeight="1">
      <x:c r="A20" s="2" t="str">
        <x:v>Imports</x:v>
      </x:c>
      <x:c r="B20" s="2" t="n">
        <x:v>16</x:v>
      </x:c>
      <x:c r="C20" s="2" t="str">
        <x:v>2. ALES, SPIRITS, WINES and OTHER BEVERAGES -     </x:v>
      </x:c>
      <x:c r="D20" s="2"/>
      <x:c r="E20" s="8"/>
      <x:c r="F20" s="8"/>
    </x:row>
    <x:row r="21" ht="23" customHeight="1">
      <x:c r="A21" s="2" t="str">
        <x:v>Imports</x:v>
      </x:c>
      <x:c r="B21" s="2" t="n">
        <x:v>17</x:v>
      </x:c>
      <x:c r="C21" s="2" t="str">
        <x:v>Ale and Beer  ----     </x:v>
      </x:c>
      <x:c r="D21" s="2" t="str">
        <x:v>barrels</x:v>
      </x:c>
      <x:c r="E21" s="8" t="n">
        <x:v>170640</x:v>
      </x:c>
      <x:c r="F21" s="8" t="n">
        <x:v>568800</x:v>
      </x:c>
    </x:row>
    <x:row r="22" ht="23" customHeight="1">
      <x:c r="A22" s="2" t="str">
        <x:v>Imports</x:v>
      </x:c>
      <x:c r="B22" s="2" t="n">
        <x:v>18</x:v>
      </x:c>
      <x:c r="C22" s="2" t="str">
        <x:v>Porter  ----     </x:v>
      </x:c>
      <x:c r="D22" s="2" t="str">
        <x:v>hhds.</x:v>
      </x:c>
      <x:c r="E22" s="8" t="n">
        <x:v>1721</x:v>
      </x:c>
      <x:c r="F22" s="8" t="n">
        <x:v>5507</x:v>
      </x:c>
    </x:row>
    <x:row r="23" ht="23" customHeight="1">
      <x:c r="A23" s="2" t="str">
        <x:v>Imports</x:v>
      </x:c>
      <x:c r="B23" s="2" t="n">
        <x:v>19</x:v>
      </x:c>
      <x:c r="C23" s="2" t="str">
        <x:v>Home-made Spirits Portable (Whiskey, &amp;c.)    ---- </x:v>
      </x:c>
      <x:c r="D23" s="2" t="str">
        <x:v>proof galls.</x:v>
      </x:c>
      <x:c r="E23" s="8" t="n">
        <x:v>386917</x:v>
      </x:c>
      <x:c r="F23" s="8" t="n">
        <x:v>74159</x:v>
      </x:c>
    </x:row>
    <x:row r="24" ht="23" customHeight="1">
      <x:c r="A24" s="2" t="str">
        <x:v>Imports</x:v>
      </x:c>
      <x:c r="B24" s="2" t="n">
        <x:v>20</x:v>
      </x:c>
      <x:c r="C24" s="2" t="str">
        <x:v>Foreign and Colonial Spirits (Brandy,Gin,Rum,&amp;c. ----     </x:v>
      </x:c>
      <x:c r="D24" s="2" t="str">
        <x:v>"      "</x:v>
      </x:c>
      <x:c r="E24" s="8" t="n">
        <x:v>667995</x:v>
      </x:c>
      <x:c r="F24" s="8" t="n">
        <x:v>136382</x:v>
      </x:c>
    </x:row>
    <x:row r="25" ht="23" customHeight="1">
      <x:c r="A25" s="2" t="str">
        <x:v>Imports</x:v>
      </x:c>
      <x:c r="B25" s="2" t="n">
        <x:v>21</x:v>
      </x:c>
      <x:c r="C25" s="2" t="str">
        <x:v>Wine ----     </x:v>
      </x:c>
      <x:c r="D25" s="2" t="str">
        <x:v>galls.</x:v>
      </x:c>
      <x:c r="E25" s="8" t="n">
        <x:v>1003240</x:v>
      </x:c>
      <x:c r="F25" s="8" t="n">
        <x:v>309332</x:v>
      </x:c>
    </x:row>
    <x:row r="26" ht="23" customHeight="1">
      <x:c r="A26" s="2" t="str">
        <x:v>Imports</x:v>
      </x:c>
      <x:c r="B26" s="2" t="n">
        <x:v>22</x:v>
      </x:c>
      <x:c r="C26" s="2" t="str">
        <x:v>Cider  ----     </x:v>
      </x:c>
      <x:c r="D26" s="2" t="str">
        <x:v>"</x:v>
      </x:c>
      <x:c r="E26" s="8" t="n">
        <x:v>91900</x:v>
      </x:c>
      <x:c r="F26" s="8" t="n">
        <x:v>4595</x:v>
      </x:c>
    </x:row>
    <x:row r="27" ht="23" customHeight="1">
      <x:c r="A27" s="2" t="str">
        <x:v>Imports</x:v>
      </x:c>
      <x:c r="B27" s="2" t="n">
        <x:v>23</x:v>
      </x:c>
      <x:c r="C27" s="2" t="str">
        <x:v>Hop Bitters  ----     </x:v>
      </x:c>
      <x:c r="D27" s="2" t="str">
        <x:v>"</x:v>
      </x:c>
      <x:c r="E27" s="8" t="n">
        <x:v>173268</x:v>
      </x:c>
      <x:c r="F27" s="8" t="n">
        <x:v>6511</x:v>
      </x:c>
    </x:row>
    <x:row r="28" ht="23" customHeight="1">
      <x:c r="A28" s="2" t="str">
        <x:v>Imports</x:v>
      </x:c>
      <x:c r="B28" s="2" t="n">
        <x:v>24</x:v>
      </x:c>
      <x:c r="C28" s="2" t="str">
        <x:v>Cordials  ----     </x:v>
      </x:c>
      <x:c r="D28" s="2" t="str">
        <x:v>"</x:v>
      </x:c>
      <x:c r="E28" s="8" t="n">
        <x:v>6381</x:v>
      </x:c>
      <x:c r="F28" s="8" t="n">
        <x:v>415</x:v>
      </x:c>
    </x:row>
    <x:row r="29" ht="23" customHeight="1">
      <x:c r="A29" s="2" t="str">
        <x:v>Imports</x:v>
      </x:c>
      <x:c r="B29" s="2" t="n">
        <x:v>25</x:v>
      </x:c>
      <x:c r="C29" s="2" t="str">
        <x:v>Juice (Lemon,Lime,Orange) ----     </x:v>
      </x:c>
      <x:c r="D29" s="2" t="str">
        <x:v>"</x:v>
      </x:c>
      <x:c r="E29" s="8" t="n">
        <x:v>13680</x:v>
      </x:c>
      <x:c r="F29" s="8" t="n">
        <x:v>1026</x:v>
      </x:c>
    </x:row>
    <x:row r="30" ht="23" customHeight="1">
      <x:c r="A30" s="2" t="str">
        <x:v>Imports</x:v>
      </x:c>
      <x:c r="B30" s="2" t="n">
        <x:v>26</x:v>
      </x:c>
      <x:c r="C30" s="2" t="str">
        <x:v>     </x:v>
      </x:c>
      <x:c r="D30" s="2"/>
      <x:c r="E30" s="8"/>
      <x:c r="F30" s="8"/>
    </x:row>
    <x:row r="31" ht="23" customHeight="1">
      <x:c r="A31" s="2" t="str">
        <x:v>Imports</x:v>
      </x:c>
      <x:c r="B31" s="2" t="n">
        <x:v>27</x:v>
      </x:c>
      <x:c r="C31" s="2" t="str">
        <x:v>     </x:v>
      </x:c>
      <x:c r="D31" s="2"/>
      <x:c r="E31" s="8"/>
      <x:c r="F31" s="8"/>
    </x:row>
    <x:row r="32" ht="23" customHeight="1">
      <x:c r="A32" s="2" t="str">
        <x:v>Imports</x:v>
      </x:c>
      <x:c r="B32" s="2" t="n">
        <x:v>28</x:v>
      </x:c>
      <x:c r="C32" s="2" t="str">
        <x:v>     </x:v>
      </x:c>
      <x:c r="D32" s="2"/>
      <x:c r="E32" s="8"/>
      <x:c r="F32" s="8"/>
    </x:row>
    <x:row r="33" ht="23" customHeight="1">
      <x:c r="A33" s="2" t="str">
        <x:v>Imports</x:v>
      </x:c>
      <x:c r="B33" s="2" t="n">
        <x:v>29</x:v>
      </x:c>
      <x:c r="C33" s="2" t="str">
        <x:v>3.ANIMALS -     </x:v>
      </x:c>
      <x:c r="D33" s="2"/>
      <x:c r="E33" s="8"/>
      <x:c r="F33" s="8"/>
    </x:row>
    <x:row r="34" ht="23" customHeight="1">
      <x:c r="A34" s="2" t="str">
        <x:v>Imports</x:v>
      </x:c>
      <x:c r="B34" s="2" t="n">
        <x:v>30</x:v>
      </x:c>
      <x:c r="C34" s="2" t="str">
        <x:v>Cattle  ----     </x:v>
      </x:c>
      <x:c r="D34" s="2" t="str">
        <x:v>No.</x:v>
      </x:c>
      <x:c r="E34" s="8" t="n">
        <x:v>608</x:v>
      </x:c>
      <x:c r="F34" s="8" t="n">
        <x:v>18240</x:v>
      </x:c>
    </x:row>
    <x:row r="35" ht="23" customHeight="1">
      <x:c r="A35" s="2" t="str">
        <x:v>Imports</x:v>
      </x:c>
      <x:c r="B35" s="2" t="n">
        <x:v>31</x:v>
      </x:c>
      <x:c r="C35" s="2" t="str">
        <x:v>Calves ----     </x:v>
      </x:c>
      <x:c r="D35" s="2" t="str">
        <x:v>"</x:v>
      </x:c>
      <x:c r="E35" s="8" t="n">
        <x:v>31</x:v>
      </x:c>
      <x:c r="F35" s="8" t="n">
        <x:v>161</x:v>
      </x:c>
    </x:row>
    <x:row r="36" ht="23" customHeight="1">
      <x:c r="A36" s="2" t="str">
        <x:v>Imports</x:v>
      </x:c>
      <x:c r="B36" s="2" t="n">
        <x:v>32</x:v>
      </x:c>
      <x:c r="C36" s="2" t="str">
        <x:v>Sheep ----     </x:v>
      </x:c>
      <x:c r="D36" s="2" t="str">
        <x:v>"</x:v>
      </x:c>
      <x:c r="E36" s="8" t="n">
        <x:v>29695</x:v>
      </x:c>
      <x:c r="F36" s="8" t="n">
        <x:v>59390</x:v>
      </x:c>
    </x:row>
    <x:row r="37" ht="23" customHeight="1">
      <x:c r="A37" s="2" t="str">
        <x:v>Imports</x:v>
      </x:c>
      <x:c r="B37" s="2" t="n">
        <x:v>33</x:v>
      </x:c>
      <x:c r="C37" s="2" t="str">
        <x:v>Lambs ----     </x:v>
      </x:c>
      <x:c r="D37" s="2" t="str">
        <x:v>"</x:v>
      </x:c>
      <x:c r="E37" s="8" t="n">
        <x:v>8608</x:v>
      </x:c>
      <x:c r="F37" s="8" t="n">
        <x:v>13773</x:v>
      </x:c>
    </x:row>
    <x:row r="38" ht="23" customHeight="1">
      <x:c r="A38" s="2" t="str">
        <x:v>Imports</x:v>
      </x:c>
      <x:c r="B38" s="2" t="n">
        <x:v>34</x:v>
      </x:c>
      <x:c r="C38" s="2" t="str">
        <x:v>Swine, Fat ----     </x:v>
      </x:c>
      <x:c r="D38" s="2" t="str">
        <x:v>"</x:v>
      </x:c>
      <x:c r="E38" s="8" t="n">
        <x:v>5</x:v>
      </x:c>
      <x:c r="F38" s="8" t="n">
        <x:v>15</x:v>
      </x:c>
    </x:row>
    <x:row r="39" ht="23" customHeight="1">
      <x:c r="A39" s="2" t="str">
        <x:v>Imports</x:v>
      </x:c>
      <x:c r="B39" s="2" t="n">
        <x:v>35</x:v>
      </x:c>
      <x:c r="C39" s="2" t="str">
        <x:v>Swine, Store ----     </x:v>
      </x:c>
      <x:c r="D39" s="2" t="str">
        <x:v>"</x:v>
      </x:c>
      <x:c r="E39" s="8" t="n">
        <x:v>19</x:v>
      </x:c>
      <x:c r="F39" s="8" t="n">
        <x:v>38</x:v>
      </x:c>
    </x:row>
    <x:row r="40" ht="23" customHeight="1">
      <x:c r="A40" s="2" t="str">
        <x:v>Imports</x:v>
      </x:c>
      <x:c r="B40" s="2" t="n">
        <x:v>36</x:v>
      </x:c>
      <x:c r="C40" s="2" t="str">
        <x:v>Goats ----     </x:v>
      </x:c>
      <x:c r="D40" s="2" t="str">
        <x:v>"</x:v>
      </x:c>
      <x:c r="E40" s="8" t="n">
        <x:v>17</x:v>
      </x:c>
      <x:c r="F40" s="8" t="n">
        <x:v>9</x:v>
      </x:c>
    </x:row>
    <x:row r="41" ht="23" customHeight="1">
      <x:c r="A41" s="2" t="str">
        <x:v>Imports</x:v>
      </x:c>
      <x:c r="B41" s="2" t="n">
        <x:v>37</x:v>
      </x:c>
      <x:c r="C41" s="2" t="str">
        <x:v>Horses - Stallions ----     </x:v>
      </x:c>
      <x:c r="D41" s="2" t="str">
        <x:v>"</x:v>
      </x:c>
      <x:c r="E41" s="8" t="n">
        <x:v>182</x:v>
      </x:c>
      <x:c r="F41" s="8" t="n">
        <x:v>45500</x:v>
      </x:c>
    </x:row>
    <x:row r="42" ht="23" customHeight="1">
      <x:c r="A42" s="2" t="str">
        <x:v>Imports</x:v>
      </x:c>
      <x:c r="B42" s="2" t="n">
        <x:v>38</x:v>
      </x:c>
      <x:c r="C42" s="2" t="str">
        <x:v>"     - Mares  ----     </x:v>
      </x:c>
      <x:c r="D42" s="2" t="str">
        <x:v>"</x:v>
      </x:c>
      <x:c r="E42" s="8" t="n">
        <x:v>3230</x:v>
      </x:c>
      <x:c r="F42" s="8" t="n">
        <x:v>80750</x:v>
      </x:c>
    </x:row>
    <x:row r="43" ht="23" customHeight="1">
      <x:c r="A43" s="2" t="str">
        <x:v>Imports</x:v>
      </x:c>
      <x:c r="B43" s="2" t="n">
        <x:v>39</x:v>
      </x:c>
      <x:c r="C43" s="2" t="str">
        <x:v>"     - Geldings ----     </x:v>
      </x:c>
      <x:c r="D43" s="2" t="str">
        <x:v>"</x:v>
      </x:c>
      <x:c r="E43" s="8" t="n">
        <x:v>3277</x:v>
      </x:c>
      <x:c r="F43" s="8" t="n">
        <x:v>81925</x:v>
      </x:c>
    </x:row>
    <x:row r="44" ht="23" customHeight="1">
      <x:c r="A44" s="2" t="str">
        <x:v>Imports</x:v>
      </x:c>
      <x:c r="B44" s="2" t="n">
        <x:v>40</x:v>
      </x:c>
      <x:c r="C44" s="2" t="str">
        <x:v>Mules and Jennets ----     </x:v>
      </x:c>
      <x:c r="D44" s="2" t="str">
        <x:v>"</x:v>
      </x:c>
      <x:c r="E44" s="8" t="n">
        <x:v>2</x:v>
      </x:c>
      <x:c r="F44" s="8" t="n">
        <x:v>24</x:v>
      </x:c>
    </x:row>
    <x:row r="45" ht="23" customHeight="1">
      <x:c r="A45" s="2" t="str">
        <x:v>Imports</x:v>
      </x:c>
      <x:c r="B45" s="2" t="n">
        <x:v>41</x:v>
      </x:c>
      <x:c r="C45" s="2" t="str">
        <x:v>Asses ----     </x:v>
      </x:c>
      <x:c r="D45" s="2" t="str">
        <x:v>"</x:v>
      </x:c>
      <x:c r="E45" s="8" t="n">
        <x:v>24</x:v>
      </x:c>
      <x:c r="F45" s="8" t="n">
        <x:v>60</x:v>
      </x:c>
    </x:row>
    <x:row r="46" ht="23" customHeight="1">
      <x:c r="A46" s="2" t="str">
        <x:v>Imports</x:v>
      </x:c>
      <x:c r="B46" s="2" t="n">
        <x:v>42</x:v>
      </x:c>
      <x:c r="C46" s="2" t="str">
        <x:v>     </x:v>
      </x:c>
      <x:c r="D46" s="2"/>
      <x:c r="E46" s="8"/>
      <x:c r="F46" s="8"/>
    </x:row>
    <x:row r="47" ht="23" customHeight="1">
      <x:c r="A47" s="2" t="str">
        <x:v>Imports</x:v>
      </x:c>
      <x:c r="B47" s="2" t="n">
        <x:v>43</x:v>
      </x:c>
      <x:c r="C47" s="2" t="str">
        <x:v>     </x:v>
      </x:c>
      <x:c r="D47" s="2"/>
      <x:c r="E47" s="8"/>
      <x:c r="F47" s="8"/>
    </x:row>
    <x:row r="48" ht="23" customHeight="1">
      <x:c r="A48" s="2" t="str">
        <x:v>Imports</x:v>
      </x:c>
      <x:c r="B48" s="2" t="n">
        <x:v>44</x:v>
      </x:c>
      <x:c r="C48" s="2" t="str">
        <x:v>     </x:v>
      </x:c>
      <x:c r="D48" s="2"/>
      <x:c r="E48" s="8"/>
      <x:c r="F48" s="8"/>
    </x:row>
    <x:row r="49" ht="23" customHeight="1">
      <x:c r="A49" s="2" t="str">
        <x:v>Imports</x:v>
      </x:c>
      <x:c r="B49" s="2" t="n">
        <x:v>45</x:v>
      </x:c>
      <x:c r="C49" s="2" t="str">
        <x:v>4. ARMS and AMMUNITION -     </x:v>
      </x:c>
      <x:c r="D49" s="2"/>
      <x:c r="E49" s="8"/>
      <x:c r="F49" s="8"/>
    </x:row>
    <x:row r="50" ht="23" customHeight="1">
      <x:c r="A50" s="2" t="str">
        <x:v>Imports</x:v>
      </x:c>
      <x:c r="B50" s="2" t="n">
        <x:v>46</x:v>
      </x:c>
      <x:c r="C50" s="2" t="str">
        <x:v>Guns and Rifles ----     </x:v>
      </x:c>
      <x:c r="D50" s="2" t="str">
        <x:v>cwts.</x:v>
      </x:c>
      <x:c r="E50" s="8" t="n">
        <x:v>2372</x:v>
      </x:c>
      <x:c r="F50" s="8" t="n">
        <x:v>142320</x:v>
      </x:c>
    </x:row>
    <x:row r="51" ht="23" customHeight="1">
      <x:c r="A51" s="2" t="str">
        <x:v>Imports</x:v>
      </x:c>
      <x:c r="B51" s="2" t="n">
        <x:v>47</x:v>
      </x:c>
      <x:c r="C51" s="2" t="str">
        <x:v>Gunpowder ----     </x:v>
      </x:c>
      <x:c r="D51" s="2" t="str">
        <x:v>"</x:v>
      </x:c>
      <x:c r="E51" s="8" t="n">
        <x:v>3873</x:v>
      </x:c>
      <x:c r="F51" s="8" t="n">
        <x:v>8822</x:v>
      </x:c>
    </x:row>
    <x:row r="52" ht="23" customHeight="1">
      <x:c r="A52" s="2" t="str">
        <x:v>Imports</x:v>
      </x:c>
      <x:c r="B52" s="2" t="n">
        <x:v>48</x:v>
      </x:c>
      <x:c r="C52" s="2" t="str">
        <x:v>Cartridges ----     </x:v>
      </x:c>
      <x:c r="D52" s="2" t="str">
        <x:v>"</x:v>
      </x:c>
      <x:c r="E52" s="8" t="n">
        <x:v>88</x:v>
      </x:c>
      <x:c r="F52" s="8" t="n">
        <x:v>440</x:v>
      </x:c>
    </x:row>
    <x:row r="53" ht="23" customHeight="1">
      <x:c r="A53" s="2" t="str">
        <x:v>Imports</x:v>
      </x:c>
      <x:c r="B53" s="2" t="n">
        <x:v>49</x:v>
      </x:c>
      <x:c r="C53" s="2" t="str">
        <x:v>Shot ----     </x:v>
      </x:c>
      <x:c r="D53" s="2" t="str">
        <x:v>"</x:v>
      </x:c>
      <x:c r="E53" s="8" t="n">
        <x:v>2844</x:v>
      </x:c>
      <x:c r="F53" s="8" t="n">
        <x:v>2133</x:v>
      </x:c>
    </x:row>
    <x:row r="54" ht="23" customHeight="1">
      <x:c r="A54" s="2" t="str">
        <x:v>Imports</x:v>
      </x:c>
      <x:c r="B54" s="2" t="n">
        <x:v>50</x:v>
      </x:c>
      <x:c r="C54" s="2" t="str">
        <x:v>     </x:v>
      </x:c>
      <x:c r="D54" s="2"/>
      <x:c r="E54" s="8"/>
      <x:c r="F54" s="8"/>
    </x:row>
    <x:row r="55" ht="23" customHeight="1">
      <x:c r="A55" s="2" t="str">
        <x:v>Imports</x:v>
      </x:c>
      <x:c r="B55" s="2" t="n">
        <x:v>51</x:v>
      </x:c>
      <x:c r="C55" s="2" t="str">
        <x:v>     </x:v>
      </x:c>
      <x:c r="D55" s="2"/>
      <x:c r="E55" s="8"/>
      <x:c r="F55" s="8"/>
    </x:row>
    <x:row r="56" ht="23" customHeight="1">
      <x:c r="A56" s="2" t="str">
        <x:v>Imports</x:v>
      </x:c>
      <x:c r="B56" s="2" t="n">
        <x:v>52</x:v>
      </x:c>
      <x:c r="C56" s="2" t="str">
        <x:v>     </x:v>
      </x:c>
      <x:c r="D56" s="2"/>
      <x:c r="E56" s="8"/>
      <x:c r="F56" s="8"/>
    </x:row>
    <x:row r="57" ht="23" customHeight="1">
      <x:c r="A57" s="2" t="str">
        <x:v>Imports</x:v>
      </x:c>
      <x:c r="B57" s="2" t="n">
        <x:v>53</x:v>
      </x:c>
      <x:c r="C57" s="2" t="str">
        <x:v>5. ASBESTOS and OTHER NON-CONDUCTING MATERIALS -     </x:v>
      </x:c>
      <x:c r="D57" s="2"/>
      <x:c r="E57" s="8"/>
      <x:c r="F57" s="8"/>
    </x:row>
    <x:row r="58" ht="23" customHeight="1">
      <x:c r="A58" s="2" t="str">
        <x:v>Imports</x:v>
      </x:c>
      <x:c r="B58" s="2" t="n">
        <x:v>54</x:v>
      </x:c>
      <x:c r="C58" s="2" t="str">
        <x:v>Asbestos ----     </x:v>
      </x:c>
      <x:c r="D58" s="2" t="str">
        <x:v>cwts.</x:v>
      </x:c>
      <x:c r="E58" s="8" t="n">
        <x:v>1437</x:v>
      </x:c>
      <x:c r="F58" s="8" t="n">
        <x:v>4311</x:v>
      </x:c>
    </x:row>
    <x:row r="59" ht="23" customHeight="1">
      <x:c r="A59" s="2" t="str">
        <x:v>Imports</x:v>
      </x:c>
      <x:c r="B59" s="2" t="n">
        <x:v>55</x:v>
      </x:c>
      <x:c r="C59" s="2" t="str">
        <x:v>Composition ----     </x:v>
      </x:c>
      <x:c r="D59" s="2" t="str">
        <x:v>"</x:v>
      </x:c>
      <x:c r="E59" s="8" t="n">
        <x:v>13633</x:v>
      </x:c>
      <x:c r="F59" s="8" t="n">
        <x:v>4776</x:v>
      </x:c>
    </x:row>
    <x:row r="60" ht="23" customHeight="1">
      <x:c r="A60" s="2" t="str">
        <x:v>Imports</x:v>
      </x:c>
      <x:c r="B60" s="2" t="n">
        <x:v>56</x:v>
      </x:c>
      <x:c r="C60" s="2" t="str">
        <x:v>Slagwool ----     </x:v>
      </x:c>
      <x:c r="D60" s="2" t="str">
        <x:v>"</x:v>
      </x:c>
      <x:c r="E60" s="8" t="n">
        <x:v>38354</x:v>
      </x:c>
      <x:c r="F60" s="8" t="n">
        <x:v>11506</x:v>
      </x:c>
    </x:row>
    <x:row r="61" ht="23" customHeight="1">
      <x:c r="A61" s="2" t="str">
        <x:v>Imports</x:v>
      </x:c>
      <x:c r="B61" s="2" t="n">
        <x:v>57</x:v>
      </x:c>
      <x:c r="C61" s="2" t="str">
        <x:v>     </x:v>
      </x:c>
      <x:c r="D61" s="2"/>
      <x:c r="E61" s="8"/>
      <x:c r="F61" s="8"/>
    </x:row>
    <x:row r="62" ht="23" customHeight="1">
      <x:c r="A62" s="2" t="str">
        <x:v>Imports</x:v>
      </x:c>
      <x:c r="B62" s="2" t="n">
        <x:v>58</x:v>
      </x:c>
      <x:c r="C62" s="2" t="str">
        <x:v>     </x:v>
      </x:c>
      <x:c r="D62" s="2"/>
      <x:c r="E62" s="8"/>
      <x:c r="F62" s="8"/>
    </x:row>
    <x:row r="63" ht="23" customHeight="1">
      <x:c r="A63" s="2" t="str">
        <x:v>Imports</x:v>
      </x:c>
      <x:c r="B63" s="2" t="n">
        <x:v>59</x:v>
      </x:c>
      <x:c r="C63" s="2" t="str">
        <x:v>     </x:v>
      </x:c>
      <x:c r="D63" s="2"/>
      <x:c r="E63" s="8"/>
      <x:c r="F63" s="8"/>
    </x:row>
    <x:row r="64" ht="23" customHeight="1">
      <x:c r="A64" s="2" t="str">
        <x:v>Imports</x:v>
      </x:c>
      <x:c r="B64" s="2" t="n">
        <x:v>60</x:v>
      </x:c>
      <x:c r="C64" s="2" t="str">
        <x:v>6.ASPHALT and BITUMEN ----     </x:v>
      </x:c>
      <x:c r="D64" s="2" t="str">
        <x:v>tons.</x:v>
      </x:c>
      <x:c r="E64" s="8" t="n">
        <x:v>1296</x:v>
      </x:c>
      <x:c r="F64" s="8" t="n">
        <x:v>3240</x:v>
      </x:c>
    </x:row>
    <x:row r="65" ht="23" customHeight="1">
      <x:c r="A65" s="2" t="str">
        <x:v>Imports</x:v>
      </x:c>
      <x:c r="B65" s="2" t="n">
        <x:v>61</x:v>
      </x:c>
      <x:c r="C65" s="2" t="str">
        <x:v>     </x:v>
      </x:c>
      <x:c r="D65" s="2"/>
      <x:c r="E65" s="8"/>
      <x:c r="F65" s="8"/>
    </x:row>
    <x:row r="66" ht="23" customHeight="1">
      <x:c r="A66" s="2" t="str">
        <x:v>Imports</x:v>
      </x:c>
      <x:c r="B66" s="2" t="n">
        <x:v>62</x:v>
      </x:c>
      <x:c r="C66" s="2" t="str">
        <x:v>     </x:v>
      </x:c>
      <x:c r="D66" s="2"/>
      <x:c r="E66" s="8"/>
      <x:c r="F66" s="8"/>
    </x:row>
    <x:row r="67" ht="23" customHeight="1">
      <x:c r="A67" s="2" t="str">
        <x:v>Imports</x:v>
      </x:c>
      <x:c r="B67" s="2" t="n">
        <x:v>63</x:v>
      </x:c>
      <x:c r="C67" s="2" t="str">
        <x:v>     </x:v>
      </x:c>
      <x:c r="D67" s="2"/>
      <x:c r="E67" s="8"/>
      <x:c r="F67" s="8"/>
    </x:row>
    <x:row r="68" ht="23" customHeight="1">
      <x:c r="A68" s="2" t="str">
        <x:v>Imports</x:v>
      </x:c>
      <x:c r="B68" s="2" t="n">
        <x:v>64</x:v>
      </x:c>
      <x:c r="C68" s="2" t="str">
        <x:v>7. BISCUITS ----     </x:v>
      </x:c>
      <x:c r="D68" s="2" t="str">
        <x:v>cwts.</x:v>
      </x:c>
      <x:c r="E68" s="8" t="n">
        <x:v>49861</x:v>
      </x:c>
      <x:c r="F68" s="8" t="n">
        <x:v>62326</x:v>
      </x:c>
    </x:row>
    <x:row r="69" ht="23" customHeight="1">
      <x:c r="A69" s="2" t="str">
        <x:v>Imports</x:v>
      </x:c>
      <x:c r="B69" s="2" t="n">
        <x:v>65</x:v>
      </x:c>
      <x:c r="C69" s="2" t="str">
        <x:v>     </x:v>
      </x:c>
      <x:c r="D69" s="2"/>
      <x:c r="E69" s="8"/>
      <x:c r="F69" s="8"/>
    </x:row>
    <x:row r="70" ht="23" customHeight="1">
      <x:c r="A70" s="2" t="str">
        <x:v>Imports</x:v>
      </x:c>
      <x:c r="B70" s="2" t="n">
        <x:v>66</x:v>
      </x:c>
      <x:c r="C70" s="2" t="str">
        <x:v>     </x:v>
      </x:c>
      <x:c r="D70" s="2"/>
      <x:c r="E70" s="8"/>
      <x:c r="F70" s="8"/>
    </x:row>
    <x:row r="71" ht="23" customHeight="1">
      <x:c r="A71" s="2" t="str">
        <x:v>Imports</x:v>
      </x:c>
      <x:c r="B71" s="2" t="n">
        <x:v>67</x:v>
      </x:c>
      <x:c r="C71" s="2" t="str">
        <x:v>     </x:v>
      </x:c>
      <x:c r="D71" s="2"/>
      <x:c r="E71" s="8"/>
      <x:c r="F71" s="8"/>
    </x:row>
    <x:row r="72" ht="23" customHeight="1">
      <x:c r="A72" s="2" t="str">
        <x:v>Imports</x:v>
      </x:c>
      <x:c r="B72" s="2" t="n">
        <x:v>68</x:v>
      </x:c>
      <x:c r="C72" s="2" t="str">
        <x:v>8. BEDS and BEDSTEADS ----     </x:v>
      </x:c>
      <x:c r="D72" s="2" t="str">
        <x:v>"</x:v>
      </x:c>
      <x:c r="E72" s="8" t="n">
        <x:v>39717</x:v>
      </x:c>
      <x:c r="F72" s="8" t="n">
        <x:v>54611</x:v>
      </x:c>
    </x:row>
    <x:row r="73" ht="23" customHeight="1">
      <x:c r="A73" s="2" t="str">
        <x:v>Imports</x:v>
      </x:c>
      <x:c r="B73" s="2" t="n">
        <x:v>69</x:v>
      </x:c>
      <x:c r="C73" s="2" t="str">
        <x:v>     </x:v>
      </x:c>
      <x:c r="D73" s="2"/>
      <x:c r="E73" s="8"/>
      <x:c r="F73" s="8"/>
    </x:row>
    <x:row r="74" ht="23" customHeight="1">
      <x:c r="A74" s="2" t="str">
        <x:v>Imports</x:v>
      </x:c>
      <x:c r="B74" s="2" t="n">
        <x:v>70</x:v>
      </x:c>
      <x:c r="C74" s="2" t="str">
        <x:v>     </x:v>
      </x:c>
      <x:c r="D74" s="2"/>
      <x:c r="E74" s="8"/>
      <x:c r="F74" s="8"/>
    </x:row>
    <x:row r="75" ht="23" customHeight="1">
      <x:c r="A75" s="2" t="str">
        <x:v>Imports</x:v>
      </x:c>
      <x:c r="B75" s="2" t="n">
        <x:v>71</x:v>
      </x:c>
      <x:c r="C75" s="2" t="str">
        <x:v>     </x:v>
      </x:c>
      <x:c r="D75" s="2"/>
      <x:c r="E75" s="8"/>
      <x:c r="F75" s="8"/>
    </x:row>
    <x:row r="76" ht="23" customHeight="1">
      <x:c r="A76" s="2" t="str">
        <x:v>Imports</x:v>
      </x:c>
      <x:c r="B76" s="2" t="n">
        <x:v>72</x:v>
      </x:c>
      <x:c r="C76" s="2" t="str">
        <x:v>9. BRUSHES and BROOMS ----     </x:v>
      </x:c>
      <x:c r="D76" s="2" t="str">
        <x:v>"</x:v>
      </x:c>
      <x:c r="E76" s="8" t="n">
        <x:v>26177</x:v>
      </x:c>
      <x:c r="F76" s="8" t="n">
        <x:v>61516</x:v>
      </x:c>
    </x:row>
    <x:row r="77" ht="23" customHeight="1">
      <x:c r="A77" s="2" t="str">
        <x:v>Imports</x:v>
      </x:c>
      <x:c r="B77" s="2" t="n">
        <x:v>73</x:v>
      </x:c>
      <x:c r="C77" s="2" t="str">
        <x:v>"            "       "  - Bristles ----     </x:v>
      </x:c>
      <x:c r="D77" s="2" t="str">
        <x:v>lbs.</x:v>
      </x:c>
      <x:c r="E77" s="8" t="n">
        <x:v>313936</x:v>
      </x:c>
      <x:c r="F77" s="8" t="n">
        <x:v>54939</x:v>
      </x:c>
    </x:row>
    <x:row r="78" ht="23" customHeight="1">
      <x:c r="A78" s="2" t="str">
        <x:v>Imports</x:v>
      </x:c>
      <x:c r="B78" s="2" t="n">
        <x:v>74</x:v>
      </x:c>
      <x:c r="C78" s="2" t="str">
        <x:v>     </x:v>
      </x:c>
      <x:c r="D78" s="2"/>
      <x:c r="E78" s="8"/>
      <x:c r="F78" s="8"/>
    </x:row>
    <x:row r="79" ht="23" customHeight="1">
      <x:c r="A79" s="2" t="str">
        <x:v>Imports</x:v>
      </x:c>
      <x:c r="B79" s="2" t="n">
        <x:v>75</x:v>
      </x:c>
      <x:c r="C79" s="2" t="str">
        <x:v>     </x:v>
      </x:c>
      <x:c r="D79" s="2"/>
      <x:c r="E79" s="8"/>
      <x:c r="F79" s="8"/>
    </x:row>
    <x:row r="80" ht="23" customHeight="1">
      <x:c r="A80" s="2" t="str">
        <x:v>Imports</x:v>
      </x:c>
      <x:c r="B80" s="2" t="n">
        <x:v>76</x:v>
      </x:c>
      <x:c r="C80" s="2" t="str">
        <x:v>     </x:v>
      </x:c>
      <x:c r="D80" s="2"/>
      <x:c r="E80" s="8"/>
      <x:c r="F80" s="8"/>
    </x:row>
    <x:row r="81" ht="23" customHeight="1">
      <x:c r="A81" s="2" t="str">
        <x:v>Imports</x:v>
      </x:c>
      <x:c r="B81" s="2" t="n">
        <x:v>77</x:v>
      </x:c>
      <x:c r="C81" s="2" t="str">
        <x:v>10. BUTTER ----     </x:v>
      </x:c>
      <x:c r="D81" s="2" t="str">
        <x:v>cwts.</x:v>
      </x:c>
      <x:c r="E81" s="8" t="n">
        <x:v>55258</x:v>
      </x:c>
      <x:c r="F81" s="8" t="n">
        <x:v>227125</x:v>
      </x:c>
    </x:row>
    <x:row r="82" ht="23" customHeight="1">
      <x:c r="A82" s="2" t="str">
        <x:v>Imports</x:v>
      </x:c>
      <x:c r="B82" s="2" t="n">
        <x:v>78</x:v>
      </x:c>
      <x:c r="C82" s="2" t="str">
        <x:v>     </x:v>
      </x:c>
      <x:c r="D82" s="2"/>
      <x:c r="E82" s="8"/>
      <x:c r="F82" s="8"/>
    </x:row>
    <x:row r="83" ht="23" customHeight="1">
      <x:c r="A83" s="2" t="str">
        <x:v>Imports</x:v>
      </x:c>
      <x:c r="B83" s="2" t="n">
        <x:v>79</x:v>
      </x:c>
      <x:c r="C83" s="2" t="str">
        <x:v>     </x:v>
      </x:c>
      <x:c r="D83" s="2"/>
      <x:c r="E83" s="8"/>
      <x:c r="F83" s="8"/>
    </x:row>
    <x:row r="84" ht="23" customHeight="1">
      <x:c r="A84" s="2" t="str">
        <x:v>Imports</x:v>
      </x:c>
      <x:c r="B84" s="2" t="n">
        <x:v>80</x:v>
      </x:c>
      <x:c r="C84" s="2" t="str">
        <x:v>     </x:v>
      </x:c>
      <x:c r="D84" s="2"/>
      <x:c r="E84" s="8"/>
      <x:c r="F84" s="8"/>
    </x:row>
    <x:row r="85" ht="23" customHeight="1">
      <x:c r="A85" s="2" t="str">
        <x:v>Imports</x:v>
      </x:c>
      <x:c r="B85" s="2" t="n">
        <x:v>81</x:v>
      </x:c>
      <x:c r="C85" s="2" t="str">
        <x:v>11.MARGARINE ----     </x:v>
      </x:c>
      <x:c r="D85" s="2" t="str">
        <x:v>"</x:v>
      </x:c>
      <x:c r="E85" s="8" t="n">
        <x:v>36784</x:v>
      </x:c>
      <x:c r="F85" s="8" t="n">
        <x:v>95638</x:v>
      </x:c>
    </x:row>
    <x:row r="86" ht="23" customHeight="1">
      <x:c r="A86" s="2" t="str">
        <x:v>Imports</x:v>
      </x:c>
      <x:c r="B86" s="2" t="n">
        <x:v>82</x:v>
      </x:c>
      <x:c r="C86" s="2" t="str">
        <x:v>     </x:v>
      </x:c>
      <x:c r="D86" s="2"/>
      <x:c r="E86" s="8"/>
      <x:c r="F86" s="8"/>
    </x:row>
    <x:row r="87" ht="23" customHeight="1">
      <x:c r="A87" s="2" t="str">
        <x:v>Imports</x:v>
      </x:c>
      <x:c r="B87" s="2" t="n">
        <x:v>83</x:v>
      </x:c>
      <x:c r="C87" s="2" t="str">
        <x:v>     </x:v>
      </x:c>
      <x:c r="D87" s="2"/>
      <x:c r="E87" s="8"/>
      <x:c r="F87" s="8"/>
    </x:row>
    <x:row r="88" ht="23" customHeight="1">
      <x:c r="A88" s="2" t="str">
        <x:v>Imports</x:v>
      </x:c>
      <x:c r="B88" s="2" t="n">
        <x:v>84</x:v>
      </x:c>
      <x:c r="C88" s="2" t="str">
        <x:v>     </x:v>
      </x:c>
      <x:c r="D88" s="2"/>
      <x:c r="E88" s="8"/>
      <x:c r="F88" s="8"/>
    </x:row>
    <x:row r="89" ht="23" customHeight="1">
      <x:c r="A89" s="2" t="str">
        <x:v>Imports</x:v>
      </x:c>
      <x:c r="B89" s="2" t="n">
        <x:v>85</x:v>
      </x:c>
      <x:c r="C89" s="2" t="str">
        <x:v>12. CANDLES ----     </x:v>
      </x:c>
      <x:c r="D89" s="2" t="str">
        <x:v>"</x:v>
      </x:c>
      <x:c r="E89" s="8" t="n">
        <x:v>65171</x:v>
      </x:c>
      <x:c r="F89" s="8" t="n">
        <x:v>91239</x:v>
      </x:c>
    </x:row>
    <x:row r="90" ht="23" customHeight="1">
      <x:c r="A90" s="2" t="str">
        <x:v>Imports</x:v>
      </x:c>
      <x:c r="B90" s="2" t="n">
        <x:v>86</x:v>
      </x:c>
      <x:c r="C90" s="2" t="str">
        <x:v>     </x:v>
      </x:c>
      <x:c r="D90" s="2"/>
      <x:c r="E90" s="8"/>
      <x:c r="F90" s="8"/>
    </x:row>
    <x:row r="91" ht="23" customHeight="1">
      <x:c r="A91" s="2" t="str">
        <x:v>Imports</x:v>
      </x:c>
      <x:c r="B91" s="2" t="n">
        <x:v>87</x:v>
      </x:c>
      <x:c r="C91" s="2" t="str">
        <x:v>     </x:v>
      </x:c>
      <x:c r="D91" s="2"/>
      <x:c r="E91" s="8"/>
      <x:c r="F91" s="8"/>
    </x:row>
    <x:row r="92" ht="23" customHeight="1">
      <x:c r="A92" s="2" t="str">
        <x:v>Imports</x:v>
      </x:c>
      <x:c r="B92" s="2" t="n">
        <x:v>88</x:v>
      </x:c>
      <x:c r="C92" s="2" t="str">
        <x:v>     </x:v>
      </x:c>
      <x:c r="D92" s="2"/>
      <x:c r="E92" s="8"/>
      <x:c r="F92" s="8"/>
    </x:row>
    <x:row r="93" ht="23" customHeight="1">
      <x:c r="A93" s="2" t="str">
        <x:v>Imports</x:v>
      </x:c>
      <x:c r="B93" s="2" t="n">
        <x:v>89</x:v>
      </x:c>
      <x:c r="C93" s="2" t="str">
        <x:v>13.CARRIAGES,CARS,&amp;c. -     </x:v>
      </x:c>
      <x:c r="D93" s="2"/>
      <x:c r="E93" s="8"/>
      <x:c r="F93" s="8"/>
    </x:row>
    <x:row r="94" ht="23" customHeight="1">
      <x:c r="A94" s="2" t="str">
        <x:v>Imports</x:v>
      </x:c>
      <x:c r="B94" s="2" t="n">
        <x:v>90</x:v>
      </x:c>
      <x:c r="C94" s="2" t="str">
        <x:v>Carriages ----     </x:v>
      </x:c>
      <x:c r="D94" s="2" t="str">
        <x:v>No.</x:v>
      </x:c>
      <x:c r="E94" s="8" t="n">
        <x:v>628</x:v>
      </x:c>
      <x:c r="F94" s="8" t="n">
        <x:v>43960</x:v>
      </x:c>
    </x:row>
    <x:row r="95" ht="23" customHeight="1">
      <x:c r="A95" s="2" t="str">
        <x:v>Imports</x:v>
      </x:c>
      <x:c r="B95" s="2" t="n">
        <x:v>91</x:v>
      </x:c>
      <x:c r="C95" s="2" t="str">
        <x:v>Cars ----     </x:v>
      </x:c>
      <x:c r="D95" s="2" t="str">
        <x:v>"</x:v>
      </x:c>
      <x:c r="E95" s="8" t="n">
        <x:v>358</x:v>
      </x:c>
      <x:c r="F95" s="8" t="n">
        <x:v>7160</x:v>
      </x:c>
    </x:row>
    <x:row r="96" ht="23" customHeight="1">
      <x:c r="A96" s="2" t="str">
        <x:v>Imports</x:v>
      </x:c>
      <x:c r="B96" s="2" t="n">
        <x:v>92</x:v>
      </x:c>
      <x:c r="C96" s="2" t="str">
        <x:v>Carts,Lorries and Vans ----     </x:v>
      </x:c>
      <x:c r="D96" s="2" t="str">
        <x:v>"</x:v>
      </x:c>
      <x:c r="E96" s="8" t="n">
        <x:v>556</x:v>
      </x:c>
      <x:c r="F96" s="8" t="n">
        <x:v>10008</x:v>
      </x:c>
    </x:row>
    <x:row r="97" ht="23" customHeight="1">
      <x:c r="A97" s="2" t="str">
        <x:v>Imports</x:v>
      </x:c>
      <x:c r="B97" s="2" t="n">
        <x:v>93</x:v>
      </x:c>
      <x:c r="C97" s="2" t="str">
        <x:v>Tram Cars ----     </x:v>
      </x:c>
      <x:c r="D97" s="2" t="str">
        <x:v>tons.</x:v>
      </x:c>
      <x:c r="E97" s="8" t="str">
        <x:v>-</x:v>
      </x:c>
      <x:c r="F97" s="8" t="str">
        <x:v>-</x:v>
      </x:c>
    </x:row>
    <x:row r="98" ht="23" customHeight="1">
      <x:c r="A98" s="2" t="str">
        <x:v>Imports</x:v>
      </x:c>
      <x:c r="B98" s="2" t="n">
        <x:v>94</x:v>
      </x:c>
      <x:c r="C98" s="2" t="str">
        <x:v>Trucks and Waggons ----     </x:v>
      </x:c>
      <x:c r="D98" s="2" t="str">
        <x:v>cwts.</x:v>
      </x:c>
      <x:c r="E98" s="8" t="n">
        <x:v>13317</x:v>
      </x:c>
      <x:c r="F98" s="8" t="n">
        <x:v>11775</x:v>
      </x:c>
    </x:row>
    <x:row r="99" ht="23" customHeight="1">
      <x:c r="A99" s="2" t="str">
        <x:v>Imports</x:v>
      </x:c>
      <x:c r="B99" s="2" t="n">
        <x:v>95</x:v>
      </x:c>
      <x:c r="C99" s="2" t="str">
        <x:v>Handcarts and Wheelbarrows ----     </x:v>
      </x:c>
      <x:c r="D99" s="2" t="str">
        <x:v>No.</x:v>
      </x:c>
      <x:c r="E99" s="8" t="n">
        <x:v>649</x:v>
      </x:c>
      <x:c r="F99" s="8" t="n">
        <x:v>1056</x:v>
      </x:c>
    </x:row>
    <x:row r="100" ht="23" customHeight="1">
      <x:c r="A100" s="2" t="str">
        <x:v>Imports</x:v>
      </x:c>
      <x:c r="B100" s="2" t="n">
        <x:v>96</x:v>
      </x:c>
      <x:c r="C100" s="2" t="str">
        <x:v>Mail Carts,Perambulators and Parts thereof ----     </x:v>
      </x:c>
      <x:c r="D100" s="2" t="str">
        <x:v>cwts.</x:v>
      </x:c>
      <x:c r="E100" s="8" t="n">
        <x:v>2873</x:v>
      </x:c>
      <x:c r="F100" s="8" t="n">
        <x:v>7183</x:v>
      </x:c>
    </x:row>
    <x:row r="101" ht="23" customHeight="1">
      <x:c r="A101" s="2" t="str">
        <x:v>Imports</x:v>
      </x:c>
      <x:c r="B101" s="2" t="n">
        <x:v>97</x:v>
      </x:c>
      <x:c r="C101" s="2" t="str">
        <x:v>Axles ----     </x:v>
      </x:c>
      <x:c r="D101" s="2" t="str">
        <x:v>tons.</x:v>
      </x:c>
      <x:c r="E101" s="8" t="n">
        <x:v>292</x:v>
      </x:c>
      <x:c r="F101" s="8" t="n">
        <x:v>2475</x:v>
      </x:c>
    </x:row>
    <x:row r="102" ht="23" customHeight="1">
      <x:c r="A102" s="2" t="str">
        <x:v>Imports</x:v>
      </x:c>
      <x:c r="B102" s="2" t="n">
        <x:v>98</x:v>
      </x:c>
      <x:c r="C102" s="2" t="str">
        <x:v>Gig Shafts ----     </x:v>
      </x:c>
      <x:c r="D102" s="2" t="str">
        <x:v>cwts.</x:v>
      </x:c>
      <x:c r="E102" s="8" t="n">
        <x:v>493</x:v>
      </x:c>
      <x:c r="F102" s="8" t="n">
        <x:v>493</x:v>
      </x:c>
    </x:row>
    <x:row r="103" ht="23" customHeight="1">
      <x:c r="A103" s="2" t="str">
        <x:v>Imports</x:v>
      </x:c>
      <x:c r="B103" s="2" t="n">
        <x:v>99</x:v>
      </x:c>
      <x:c r="C103" s="2" t="str">
        <x:v>Spokes and Felloes ----     </x:v>
      </x:c>
      <x:c r="D103" s="2" t="str">
        <x:v>No.</x:v>
      </x:c>
      <x:c r="E103" s="8" t="n">
        <x:v>28945</x:v>
      </x:c>
      <x:c r="F103" s="8" t="n">
        <x:v>724</x:v>
      </x:c>
    </x:row>
    <x:row r="104" ht="23" customHeight="1">
      <x:c r="A104" s="2" t="str">
        <x:v>Imports</x:v>
      </x:c>
      <x:c r="B104" s="2" t="n">
        <x:v>100</x:v>
      </x:c>
      <x:c r="C104" s="2" t="str">
        <x:v>Wheels ----     </x:v>
      </x:c>
      <x:c r="D104" s="2" t="str">
        <x:v>cwts.</x:v>
      </x:c>
      <x:c r="E104" s="8" t="n">
        <x:v>22139</x:v>
      </x:c>
      <x:c r="F104" s="8" t="n">
        <x:v>33210</x:v>
      </x:c>
    </x:row>
    <x:row r="105" ht="23" customHeight="1">
      <x:c r="A105" s="2" t="str">
        <x:v>Imports</x:v>
      </x:c>
      <x:c r="B105" s="2" t="n">
        <x:v>101</x:v>
      </x:c>
      <x:c r="C105" s="2" t="str">
        <x:v>Motor Cars ----     </x:v>
      </x:c>
      <x:c r="D105" s="2" t="str">
        <x:v>value.</x:v>
      </x:c>
      <x:c r="E105" s="8" t="str">
        <x:v>-</x:v>
      </x:c>
      <x:c r="F105" s="8" t="n">
        <x:v>72100</x:v>
      </x:c>
    </x:row>
    <x:row r="106" ht="23" customHeight="1">
      <x:c r="A106" s="2" t="str">
        <x:v>Imports</x:v>
      </x:c>
      <x:c r="B106" s="2" t="n">
        <x:v>102</x:v>
      </x:c>
      <x:c r="C106" s="2" t="str">
        <x:v>Motor Cycles ----     </x:v>
      </x:c>
      <x:c r="D106" s="2" t="str">
        <x:v>"</x:v>
      </x:c>
      <x:c r="E106" s="8" t="str">
        <x:v>-</x:v>
      </x:c>
      <x:c r="F106" s="8" t="n">
        <x:v>7500</x:v>
      </x:c>
    </x:row>
    <x:row r="107" ht="23" customHeight="1">
      <x:c r="A107" s="2" t="str">
        <x:v>Imports</x:v>
      </x:c>
      <x:c r="B107" s="2" t="n">
        <x:v>103</x:v>
      </x:c>
      <x:c r="C107" s="2" t="str">
        <x:v>Cycles ----     </x:v>
      </x:c>
      <x:c r="D107" s="2" t="str">
        <x:v>"</x:v>
      </x:c>
      <x:c r="E107" s="8" t="str">
        <x:v>-</x:v>
      </x:c>
      <x:c r="F107" s="8" t="n">
        <x:v>250000</x:v>
      </x:c>
    </x:row>
    <x:row r="108" ht="23" customHeight="1">
      <x:c r="A108" s="2" t="str">
        <x:v>Imports</x:v>
      </x:c>
      <x:c r="B108" s="2" t="n">
        <x:v>104</x:v>
      </x:c>
      <x:c r="C108" s="2" t="str">
        <x:v>     </x:v>
      </x:c>
      <x:c r="D108" s="2"/>
      <x:c r="E108" s="8"/>
      <x:c r="F108" s="8"/>
    </x:row>
    <x:row r="109" ht="23" customHeight="1">
      <x:c r="A109" s="2" t="str">
        <x:v>Imports</x:v>
      </x:c>
      <x:c r="B109" s="2" t="n">
        <x:v>105</x:v>
      </x:c>
      <x:c r="C109" s="2" t="str">
        <x:v>     </x:v>
      </x:c>
      <x:c r="D109" s="2"/>
      <x:c r="E109" s="8"/>
      <x:c r="F109" s="8"/>
    </x:row>
    <x:row r="110" ht="23" customHeight="1">
      <x:c r="A110" s="2" t="str">
        <x:v>Imports</x:v>
      </x:c>
      <x:c r="B110" s="2" t="n">
        <x:v>106</x:v>
      </x:c>
      <x:c r="C110" s="2" t="str">
        <x:v>     </x:v>
      </x:c>
      <x:c r="D110" s="2"/>
      <x:c r="E110" s="8"/>
      <x:c r="F110" s="8"/>
    </x:row>
    <x:row r="111" ht="23" customHeight="1">
      <x:c r="A111" s="2" t="str">
        <x:v>Imports</x:v>
      </x:c>
      <x:c r="B111" s="2" t="n">
        <x:v>107</x:v>
      </x:c>
      <x:c r="C111" s="2" t="str">
        <x:v>14.CEMENT ----     </x:v>
      </x:c>
      <x:c r="D111" s="2" t="str">
        <x:v>tons.</x:v>
      </x:c>
      <x:c r="E111" s="8" t="n">
        <x:v>106665</x:v>
      </x:c>
      <x:c r="F111" s="8" t="n">
        <x:v>137776</x:v>
      </x:c>
    </x:row>
    <x:row r="112" ht="23" customHeight="1">
      <x:c r="A112" s="2" t="str">
        <x:v>Imports</x:v>
      </x:c>
      <x:c r="B112" s="2" t="n">
        <x:v>108</x:v>
      </x:c>
      <x:c r="C112" s="2" t="str">
        <x:v>     </x:v>
      </x:c>
      <x:c r="D112" s="2"/>
      <x:c r="E112" s="8"/>
      <x:c r="F112" s="8"/>
    </x:row>
    <x:row r="113" ht="23" customHeight="1">
      <x:c r="A113" s="2" t="str">
        <x:v>Imports</x:v>
      </x:c>
      <x:c r="B113" s="2" t="n">
        <x:v>109</x:v>
      </x:c>
      <x:c r="C113" s="2" t="str">
        <x:v>     </x:v>
      </x:c>
      <x:c r="D113" s="2"/>
      <x:c r="E113" s="8"/>
      <x:c r="F113" s="8"/>
    </x:row>
    <x:row r="114" ht="23" customHeight="1">
      <x:c r="A114" s="2" t="str">
        <x:v>Imports</x:v>
      </x:c>
      <x:c r="B114" s="2" t="n">
        <x:v>110</x:v>
      </x:c>
      <x:c r="C114" s="2" t="str">
        <x:v>     </x:v>
      </x:c>
      <x:c r="D114" s="2"/>
      <x:c r="E114" s="8"/>
      <x:c r="F114" s="8"/>
    </x:row>
    <x:row r="115" ht="23" customHeight="1">
      <x:c r="A115" s="2" t="str">
        <x:v>Imports</x:v>
      </x:c>
      <x:c r="B115" s="2" t="n">
        <x:v>111</x:v>
      </x:c>
      <x:c r="C115" s="2" t="str">
        <x:v>15. CHARCOAL ----     </x:v>
      </x:c>
      <x:c r="D115" s="2" t="str">
        <x:v>cwts.</x:v>
      </x:c>
      <x:c r="E115" s="8" t="n">
        <x:v>8396</x:v>
      </x:c>
      <x:c r="F115" s="8" t="n">
        <x:v>2519</x:v>
      </x:c>
    </x:row>
    <x:row r="116" ht="23" customHeight="1">
      <x:c r="A116" s="2" t="str">
        <x:v>Imports</x:v>
      </x:c>
      <x:c r="B116" s="2" t="n">
        <x:v>112</x:v>
      </x:c>
      <x:c r="C116" s="2" t="str">
        <x:v>     </x:v>
      </x:c>
      <x:c r="D116" s="2"/>
      <x:c r="E116" s="8"/>
      <x:c r="F116" s="8"/>
    </x:row>
    <x:row r="117" ht="23" customHeight="1">
      <x:c r="A117" s="2" t="str">
        <x:v>Imports</x:v>
      </x:c>
      <x:c r="B117" s="2" t="n">
        <x:v>113</x:v>
      </x:c>
      <x:c r="C117" s="2" t="str">
        <x:v>     </x:v>
      </x:c>
      <x:c r="D117" s="2"/>
      <x:c r="E117" s="8"/>
      <x:c r="F117" s="8"/>
    </x:row>
    <x:row r="118" ht="23" customHeight="1">
      <x:c r="A118" s="2" t="str">
        <x:v>Imports</x:v>
      </x:c>
      <x:c r="B118" s="2" t="n">
        <x:v>114</x:v>
      </x:c>
      <x:c r="C118" s="2" t="str">
        <x:v>     </x:v>
      </x:c>
      <x:c r="D118" s="2"/>
      <x:c r="E118" s="8"/>
      <x:c r="F118" s="8"/>
    </x:row>
    <x:row r="119" ht="23" customHeight="1">
      <x:c r="A119" s="2" t="str">
        <x:v>Imports</x:v>
      </x:c>
      <x:c r="B119" s="2" t="n">
        <x:v>115</x:v>
      </x:c>
      <x:c r="C119" s="2" t="str">
        <x:v>16. CHEESE ----     </x:v>
      </x:c>
      <x:c r="D119" s="2" t="str">
        <x:v>"</x:v>
      </x:c>
      <x:c r="E119" s="8" t="n">
        <x:v>42380</x:v>
      </x:c>
      <x:c r="F119" s="8" t="n">
        <x:v>118664</x:v>
      </x:c>
    </x:row>
    <x:row r="120" ht="23" customHeight="1">
      <x:c r="A120" s="2" t="str">
        <x:v>Imports</x:v>
      </x:c>
      <x:c r="B120" s="2" t="n">
        <x:v>116</x:v>
      </x:c>
      <x:c r="C120" s="2" t="str">
        <x:v>     </x:v>
      </x:c>
      <x:c r="D120" s="2"/>
      <x:c r="E120" s="8"/>
      <x:c r="F120" s="8"/>
    </x:row>
    <x:row r="121" ht="23" customHeight="1">
      <x:c r="A121" s="2" t="str">
        <x:v>Imports</x:v>
      </x:c>
      <x:c r="B121" s="2" t="n">
        <x:v>117</x:v>
      </x:c>
      <x:c r="C121" s="2" t="str">
        <x:v>     </x:v>
      </x:c>
      <x:c r="D121" s="2"/>
      <x:c r="E121" s="8"/>
      <x:c r="F121" s="8"/>
    </x:row>
    <x:row r="122" ht="23" customHeight="1">
      <x:c r="A122" s="2" t="str">
        <x:v>Imports</x:v>
      </x:c>
      <x:c r="B122" s="2" t="n">
        <x:v>118</x:v>
      </x:c>
      <x:c r="C122" s="2" t="str">
        <x:v>     </x:v>
      </x:c>
      <x:c r="D122" s="2"/>
      <x:c r="E122" s="8"/>
      <x:c r="F122" s="8"/>
    </x:row>
    <x:row r="123" ht="23" customHeight="1">
      <x:c r="A123" s="2" t="str">
        <x:v>Imports</x:v>
      </x:c>
      <x:c r="B123" s="2" t="n">
        <x:v>119</x:v>
      </x:c>
      <x:c r="C123" s="2" t="str">
        <x:v>17. CHEMICALS,DRUGS,&amp;c. -     </x:v>
      </x:c>
      <x:c r="D123" s="2"/>
      <x:c r="E123" s="8"/>
      <x:c r="F123" s="8"/>
    </x:row>
    <x:row r="124" ht="23" customHeight="1">
      <x:c r="A124" s="2" t="str">
        <x:v>Imports</x:v>
      </x:c>
      <x:c r="B124" s="2" t="n">
        <x:v>120</x:v>
      </x:c>
      <x:c r="C124" s="2" t="str">
        <x:v>Acid, unclassified ----     </x:v>
      </x:c>
      <x:c r="D124" s="2" t="str">
        <x:v>cwts.</x:v>
      </x:c>
      <x:c r="E124" s="8" t="n">
        <x:v>31198</x:v>
      </x:c>
      <x:c r="F124" s="8" t="n">
        <x:v>38998</x:v>
      </x:c>
    </x:row>
    <x:row r="125" ht="23" customHeight="1">
      <x:c r="A125" s="2" t="str">
        <x:v>Imports</x:v>
      </x:c>
      <x:c r="B125" s="2" t="n">
        <x:v>121</x:v>
      </x:c>
      <x:c r="C125" s="2" t="str">
        <x:v>Acid, sulphuric ----     </x:v>
      </x:c>
      <x:c r="D125" s="2" t="str">
        <x:v>"</x:v>
      </x:c>
      <x:c r="E125" s="8" t="n">
        <x:v>3167</x:v>
      </x:c>
      <x:c r="F125" s="8" t="n">
        <x:v>713</x:v>
      </x:c>
    </x:row>
    <x:row r="126" ht="23" customHeight="1">
      <x:c r="A126" s="2" t="str">
        <x:v>Imports</x:v>
      </x:c>
      <x:c r="B126" s="2" t="n">
        <x:v>122</x:v>
      </x:c>
      <x:c r="C126" s="2" t="str">
        <x:v>Alkali ----     </x:v>
      </x:c>
      <x:c r="D126" s="2" t="str">
        <x:v>"</x:v>
      </x:c>
      <x:c r="E126" s="8" t="n">
        <x:v>2867</x:v>
      </x:c>
      <x:c r="F126" s="8" t="n">
        <x:v>717</x:v>
      </x:c>
    </x:row>
    <x:row r="127" ht="23" customHeight="1">
      <x:c r="A127" s="2" t="str">
        <x:v>Imports</x:v>
      </x:c>
      <x:c r="B127" s="2" t="n">
        <x:v>123</x:v>
      </x:c>
      <x:c r="C127" s="2" t="str">
        <x:v>Alum ---     </x:v>
      </x:c>
      <x:c r="D127" s="2" t="str">
        <x:v>"</x:v>
      </x:c>
      <x:c r="E127" s="8" t="n">
        <x:v>5359</x:v>
      </x:c>
      <x:c r="F127" s="8" t="n">
        <x:v>1608</x:v>
      </x:c>
    </x:row>
    <x:row r="128" ht="23" customHeight="1">
      <x:c r="A128" s="2" t="str">
        <x:v>Imports</x:v>
      </x:c>
      <x:c r="B128" s="2" t="n">
        <x:v>124</x:v>
      </x:c>
      <x:c r="C128" s="2" t="str">
        <x:v>Ammonia ----     </x:v>
      </x:c>
      <x:c r="D128" s="2" t="str">
        <x:v>"</x:v>
      </x:c>
      <x:c r="E128" s="8" t="n">
        <x:v>5877</x:v>
      </x:c>
      <x:c r="F128" s="8" t="n">
        <x:v>9991</x:v>
      </x:c>
    </x:row>
    <x:row r="129" ht="23" customHeight="1">
      <x:c r="A129" s="2" t="str">
        <x:v>Imports</x:v>
      </x:c>
      <x:c r="B129" s="2" t="n">
        <x:v>125</x:v>
      </x:c>
      <x:c r="C129" s="2" t="str">
        <x:v>Blue ----     </x:v>
      </x:c>
      <x:c r="D129" s="2" t="str">
        <x:v>"</x:v>
      </x:c>
      <x:c r="E129" s="8" t="n">
        <x:v>2049</x:v>
      </x:c>
      <x:c r="F129" s="8" t="n">
        <x:v>3074</x:v>
      </x:c>
    </x:row>
    <x:row r="130" ht="23" customHeight="1">
      <x:c r="A130" s="2" t="str">
        <x:v>Imports</x:v>
      </x:c>
      <x:c r="B130" s="2" t="n">
        <x:v>126</x:v>
      </x:c>
      <x:c r="C130" s="2" t="str">
        <x:v>Borax ----     </x:v>
      </x:c>
      <x:c r="D130" s="2" t="str">
        <x:v>"</x:v>
      </x:c>
      <x:c r="E130" s="8" t="n">
        <x:v>740</x:v>
      </x:c>
      <x:c r="F130" s="8" t="n">
        <x:v>481</x:v>
      </x:c>
    </x:row>
    <x:row r="131" ht="23" customHeight="1">
      <x:c r="A131" s="2" t="str">
        <x:v>Imports</x:v>
      </x:c>
      <x:c r="B131" s="2" t="n">
        <x:v>127</x:v>
      </x:c>
      <x:c r="C131" s="2" t="str">
        <x:v>Carbide of Calcium ----     </x:v>
      </x:c>
      <x:c r="D131" s="2" t="str">
        <x:v>"</x:v>
      </x:c>
      <x:c r="E131" s="8" t="n">
        <x:v>8623</x:v>
      </x:c>
      <x:c r="F131" s="8" t="n">
        <x:v>6144</x:v>
      </x:c>
    </x:row>
    <x:row r="132" ht="23" customHeight="1">
      <x:c r="A132" s="2" t="str">
        <x:v>Imports</x:v>
      </x:c>
      <x:c r="B132" s="2" t="n">
        <x:v>128</x:v>
      </x:c>
      <x:c r="C132" s="2" t="str">
        <x:v>Copper Sulphate ----     </x:v>
      </x:c>
      <x:c r="D132" s="2" t="str">
        <x:v>tons.</x:v>
      </x:c>
      <x:c r="E132" s="8" t="n">
        <x:v>1727</x:v>
      </x:c>
      <x:c r="F132" s="8" t="n">
        <x:v>37994</x:v>
      </x:c>
    </x:row>
    <x:row r="133" ht="23" customHeight="1">
      <x:c r="A133" s="2" t="str">
        <x:v>Imports</x:v>
      </x:c>
      <x:c r="B133" s="2" t="n">
        <x:v>129</x:v>
      </x:c>
      <x:c r="C133" s="2" t="str">
        <x:v>Cream of Tartar ----     </x:v>
      </x:c>
      <x:c r="D133" s="2" t="str">
        <x:v>cwts.</x:v>
      </x:c>
      <x:c r="E133" s="8" t="n">
        <x:v>4982</x:v>
      </x:c>
      <x:c r="F133" s="8" t="n">
        <x:v>18682</x:v>
      </x:c>
    </x:row>
    <x:row r="134" ht="23" customHeight="1">
      <x:c r="A134" s="2" t="str">
        <x:v>Imports</x:v>
      </x:c>
      <x:c r="B134" s="2" t="n">
        <x:v>130</x:v>
      </x:c>
      <x:c r="C134" s="2" t="str">
        <x:v>Earth Fuller's ----     </x:v>
      </x:c>
      <x:c r="D134" s="2" t="str">
        <x:v>"</x:v>
      </x:c>
      <x:c r="E134" s="8" t="n">
        <x:v>1982</x:v>
      </x:c>
      <x:c r="F134" s="8" t="n">
        <x:v>297</x:v>
      </x:c>
    </x:row>
    <x:row r="135" ht="23" customHeight="1">
      <x:c r="A135" s="2" t="str">
        <x:v>Imports</x:v>
      </x:c>
      <x:c r="B135" s="2" t="n">
        <x:v>131</x:v>
      </x:c>
      <x:c r="C135" s="2" t="str">
        <x:v>Finings ----     </x:v>
      </x:c>
      <x:c r="D135" s="2" t="str">
        <x:v>"</x:v>
      </x:c>
      <x:c r="E135" s="8" t="n">
        <x:v>1043</x:v>
      </x:c>
      <x:c r="F135" s="8" t="n">
        <x:v>939</x:v>
      </x:c>
    </x:row>
    <x:row r="136" ht="23" customHeight="1">
      <x:c r="A136" s="2" t="str">
        <x:v>Imports</x:v>
      </x:c>
      <x:c r="B136" s="2" t="n">
        <x:v>132</x:v>
      </x:c>
      <x:c r="C136" s="2" t="str">
        <x:v>Gas ----     </x:v>
      </x:c>
      <x:c r="D136" s="2" t="str">
        <x:v>"</x:v>
      </x:c>
      <x:c r="E136" s="8" t="n">
        <x:v>3045</x:v>
      </x:c>
      <x:c r="F136" s="8" t="n">
        <x:v>3197</x:v>
      </x:c>
    </x:row>
    <x:row r="137" ht="23" customHeight="1">
      <x:c r="A137" s="2" t="str">
        <x:v>Imports</x:v>
      </x:c>
      <x:c r="B137" s="2" t="n">
        <x:v>133</x:v>
      </x:c>
      <x:c r="C137" s="2" t="str">
        <x:v>Glycerine ----     </x:v>
      </x:c>
      <x:c r="D137" s="2" t="str">
        <x:v>"</x:v>
      </x:c>
      <x:c r="E137" s="8" t="n">
        <x:v>7475</x:v>
      </x:c>
      <x:c r="F137" s="8" t="n">
        <x:v>16445</x:v>
      </x:c>
    </x:row>
    <x:row r="138" ht="23" customHeight="1">
      <x:c r="A138" s="2" t="str">
        <x:v>Imports</x:v>
      </x:c>
      <x:c r="B138" s="2" t="n">
        <x:v>134</x:v>
      </x:c>
      <x:c r="C138" s="2" t="str">
        <x:v>Isinglass ----     </x:v>
      </x:c>
      <x:c r="D138" s="2" t="str">
        <x:v>"</x:v>
      </x:c>
      <x:c r="E138" s="8" t="n">
        <x:v>249</x:v>
      </x:c>
      <x:c r="F138" s="8" t="n">
        <x:v>5578</x:v>
      </x:c>
    </x:row>
    <x:row r="139" ht="23" customHeight="1">
      <x:c r="A139" s="2" t="str">
        <x:v>Imports</x:v>
      </x:c>
      <x:c r="B139" s="2" t="n">
        <x:v>135</x:v>
      </x:c>
      <x:c r="C139" s="2" t="str">
        <x:v>Gelatine ----     </x:v>
      </x:c>
      <x:c r="D139" s="2" t="str">
        <x:v>"</x:v>
      </x:c>
      <x:c r="E139" s="8" t="n">
        <x:v>1000</x:v>
      </x:c>
      <x:c r="F139" s="8" t="n">
        <x:v>5000</x:v>
      </x:c>
    </x:row>
    <x:row r="140" ht="23" customHeight="1">
      <x:c r="A140" s="2" t="str">
        <x:v>Imports</x:v>
      </x:c>
      <x:c r="B140" s="2" t="n">
        <x:v>136</x:v>
      </x:c>
      <x:c r="C140" s="2" t="str">
        <x:v>Powder,Washing and Bleaching ----     </x:v>
      </x:c>
      <x:c r="D140" s="2" t="str">
        <x:v>"</x:v>
      </x:c>
      <x:c r="E140" s="8" t="n">
        <x:v>97755</x:v>
      </x:c>
      <x:c r="F140" s="8" t="n">
        <x:v>34214</x:v>
      </x:c>
    </x:row>
    <x:row r="141" ht="23" customHeight="1">
      <x:c r="A141" s="2" t="str">
        <x:v>Imports</x:v>
      </x:c>
      <x:c r="B141" s="2" t="n">
        <x:v>137</x:v>
      </x:c>
      <x:c r="C141" s="2" t="str">
        <x:v>Powder, Soap ----     </x:v>
      </x:c>
      <x:c r="D141" s="2" t="str">
        <x:v>"</x:v>
      </x:c>
      <x:c r="E141" s="8" t="n">
        <x:v>10847</x:v>
      </x:c>
      <x:c r="F141" s="8" t="n">
        <x:v>10847</x:v>
      </x:c>
    </x:row>
    <x:row r="142" ht="23" customHeight="1">
      <x:c r="A142" s="2" t="str">
        <x:v>Imports</x:v>
      </x:c>
      <x:c r="B142" s="2" t="n">
        <x:v>138</x:v>
      </x:c>
      <x:c r="C142" s="2" t="str">
        <x:v>Saltpetre ----     </x:v>
      </x:c>
      <x:c r="D142" s="2" t="str">
        <x:v>"</x:v>
      </x:c>
      <x:c r="E142" s="8" t="n">
        <x:v>8086</x:v>
      </x:c>
      <x:c r="F142" s="8" t="n">
        <x:v>9097</x:v>
      </x:c>
    </x:row>
    <x:row r="143" ht="23" customHeight="1">
      <x:c r="A143" s="2" t="str">
        <x:v>Imports</x:v>
      </x:c>
      <x:c r="B143" s="2" t="n">
        <x:v>139</x:v>
      </x:c>
      <x:c r="C143" s="2" t="str">
        <x:v>Salts, Epsom ----     </x:v>
      </x:c>
      <x:c r="D143" s="2" t="str">
        <x:v>"</x:v>
      </x:c>
      <x:c r="E143" s="8" t="n">
        <x:v>16616</x:v>
      </x:c>
      <x:c r="F143" s="8" t="n">
        <x:v>4154</x:v>
      </x:c>
    </x:row>
    <x:row r="144" ht="23" customHeight="1">
      <x:c r="A144" s="2" t="str">
        <x:v>Imports</x:v>
      </x:c>
      <x:c r="B144" s="2" t="n">
        <x:v>140</x:v>
      </x:c>
      <x:c r="C144" s="2" t="str">
        <x:v>Sheepwash ----     </x:v>
      </x:c>
      <x:c r="D144" s="2" t="str">
        <x:v>"</x:v>
      </x:c>
      <x:c r="E144" s="8" t="n">
        <x:v>5194</x:v>
      </x:c>
      <x:c r="F144" s="8" t="n">
        <x:v>25970</x:v>
      </x:c>
    </x:row>
    <x:row r="145" ht="23" customHeight="1">
      <x:c r="A145" s="2" t="str">
        <x:v>Imports</x:v>
      </x:c>
      <x:c r="B145" s="2" t="n">
        <x:v>141</x:v>
      </x:c>
      <x:c r="C145" s="2" t="str">
        <x:v>Soda     </x:v>
      </x:c>
      <x:c r="D145" s="2" t="str">
        <x:v>"</x:v>
      </x:c>
      <x:c r="E145" s="8" t="n">
        <x:v>235444</x:v>
      </x:c>
      <x:c r="F145" s="8" t="n">
        <x:v>38259</x:v>
      </x:c>
    </x:row>
    <x:row r="146" ht="23" customHeight="1">
      <x:c r="A146" s="2" t="str">
        <x:v>Imports</x:v>
      </x:c>
      <x:c r="B146" s="2" t="n">
        <x:v>142</x:v>
      </x:c>
      <x:c r="C146" s="2" t="str">
        <x:v>Soda,Bicarbonate of ----     </x:v>
      </x:c>
      <x:c r="D146" s="2" t="str">
        <x:v>"</x:v>
      </x:c>
      <x:c r="E146" s="8" t="n">
        <x:v>34594</x:v>
      </x:c>
      <x:c r="F146" s="8" t="n">
        <x:v>12108</x:v>
      </x:c>
    </x:row>
    <x:row r="147" ht="23" customHeight="1">
      <x:c r="A147" s="2" t="str">
        <x:v>Imports</x:v>
      </x:c>
      <x:c r="B147" s="2" t="n">
        <x:v>143</x:v>
      </x:c>
      <x:c r="C147" s="2" t="str">
        <x:v>Soda, Caustic ----     </x:v>
      </x:c>
      <x:c r="D147" s="2" t="str">
        <x:v>"</x:v>
      </x:c>
      <x:c r="E147" s="8" t="n">
        <x:v>1663</x:v>
      </x:c>
      <x:c r="F147" s="8" t="n">
        <x:v>832</x:v>
      </x:c>
    </x:row>
    <x:row r="148" ht="23" customHeight="1">
      <x:c r="A148" s="2" t="str">
        <x:v>Imports</x:v>
      </x:c>
      <x:c r="B148" s="2" t="n">
        <x:v>144</x:v>
      </x:c>
      <x:c r="C148" s="2" t="str">
        <x:v>Soda Ash ----     </x:v>
      </x:c>
      <x:c r="D148" s="2" t="str">
        <x:v>"</x:v>
      </x:c>
      <x:c r="E148" s="8" t="n">
        <x:v>104095</x:v>
      </x:c>
      <x:c r="F148" s="8" t="n">
        <x:v>26024</x:v>
      </x:c>
    </x:row>
    <x:row r="149" ht="23" customHeight="1">
      <x:c r="A149" s="2" t="str">
        <x:v>Imports</x:v>
      </x:c>
      <x:c r="B149" s="2" t="n">
        <x:v>145</x:v>
      </x:c>
      <x:c r="C149" s="2" t="str">
        <x:v>Salt Cake (Sulphate of Soda) ----     </x:v>
      </x:c>
      <x:c r="D149" s="2" t="str">
        <x:v>"</x:v>
      </x:c>
      <x:c r="E149" s="8" t="n">
        <x:v>24521</x:v>
      </x:c>
      <x:c r="F149" s="8" t="n">
        <x:v>2575</x:v>
      </x:c>
    </x:row>
    <x:row r="150" ht="23" customHeight="1">
      <x:c r="A150" s="2" t="str">
        <x:v>Imports</x:v>
      </x:c>
      <x:c r="B150" s="2" t="n">
        <x:v>146</x:v>
      </x:c>
      <x:c r="C150" s="2" t="str">
        <x:v>Sulphur ----     </x:v>
      </x:c>
      <x:c r="D150" s="2" t="str">
        <x:v>"</x:v>
      </x:c>
      <x:c r="E150" s="8" t="n">
        <x:v>5575</x:v>
      </x:c>
      <x:c r="F150" s="8" t="n">
        <x:v>1951</x:v>
      </x:c>
    </x:row>
    <x:row r="151" ht="23" customHeight="1">
      <x:c r="A151" s="2" t="str">
        <x:v>Imports</x:v>
      </x:c>
      <x:c r="B151" s="2" t="n">
        <x:v>147</x:v>
      </x:c>
      <x:c r="C151" s="2" t="str">
        <x:v>Vitriol ----     </x:v>
      </x:c>
      <x:c r="D151" s="2" t="str">
        <x:v>"</x:v>
      </x:c>
      <x:c r="E151" s="8" t="n">
        <x:v>24247</x:v>
      </x:c>
      <x:c r="F151" s="8" t="n">
        <x:v>4546</x:v>
      </x:c>
    </x:row>
    <x:row r="152" ht="23" customHeight="1">
      <x:c r="A152" s="2" t="str">
        <x:v>Imports</x:v>
      </x:c>
      <x:c r="B152" s="2" t="n">
        <x:v>148</x:v>
      </x:c>
      <x:c r="C152" s="2" t="str">
        <x:v>Chemicals and Drugs unclassified ----     </x:v>
      </x:c>
      <x:c r="D152" s="2" t="str">
        <x:v>"</x:v>
      </x:c>
      <x:c r="E152" s="8" t="n">
        <x:v>59762</x:v>
      </x:c>
      <x:c r="F152" s="8" t="n">
        <x:v>28885</x:v>
      </x:c>
    </x:row>
    <x:row r="153" ht="23" customHeight="1">
      <x:c r="A153" s="2" t="str">
        <x:v>Imports</x:v>
      </x:c>
      <x:c r="B153" s="2" t="n">
        <x:v>149</x:v>
      </x:c>
      <x:c r="C153" s="2" t="str">
        <x:v>Pot and Pearl Ashes ----     </x:v>
      </x:c>
      <x:c r="D153" s="2" t="str">
        <x:v>"</x:v>
      </x:c>
      <x:c r="E153" s="8" t="n">
        <x:v>6283</x:v>
      </x:c>
      <x:c r="F153" s="8" t="n">
        <x:v>10681</x:v>
      </x:c>
    </x:row>
    <x:row r="154" ht="23" customHeight="1">
      <x:c r="A154" s="2" t="str">
        <x:v>Imports</x:v>
      </x:c>
      <x:c r="B154" s="2" t="n">
        <x:v>150</x:v>
      </x:c>
      <x:c r="C154" s="2" t="str">
        <x:v>FERTILISERS -     </x:v>
      </x:c>
      <x:c r="D154" s="2"/>
      <x:c r="E154" s="8"/>
      <x:c r="F154" s="8"/>
    </x:row>
    <x:row r="155" ht="23" customHeight="1">
      <x:c r="A155" s="2" t="str">
        <x:v>Imports</x:v>
      </x:c>
      <x:c r="B155" s="2" t="n">
        <x:v>151</x:v>
      </x:c>
      <x:c r="C155" s="2" t="str">
        <x:v>Basic Slag ----     </x:v>
      </x:c>
      <x:c r="D155" s="2" t="str">
        <x:v>tons.</x:v>
      </x:c>
      <x:c r="E155" s="8" t="n">
        <x:v>9098</x:v>
      </x:c>
      <x:c r="F155" s="8" t="n">
        <x:v>18196</x:v>
      </x:c>
    </x:row>
    <x:row r="156" ht="23" customHeight="1">
      <x:c r="A156" s="2" t="str">
        <x:v>Imports</x:v>
      </x:c>
      <x:c r="B156" s="2" t="n">
        <x:v>152</x:v>
      </x:c>
      <x:c r="C156" s="2" t="str">
        <x:v>Bone Manure ---     </x:v>
      </x:c>
      <x:c r="D156" s="2" t="str">
        <x:v>"</x:v>
      </x:c>
      <x:c r="E156" s="8" t="n">
        <x:v>3431</x:v>
      </x:c>
      <x:c r="F156" s="8" t="n">
        <x:v>17155</x:v>
      </x:c>
    </x:row>
    <x:row r="157" ht="23" customHeight="1">
      <x:c r="A157" s="2" t="str">
        <x:v>Imports</x:v>
      </x:c>
      <x:c r="B157" s="2" t="n">
        <x:v>153</x:v>
      </x:c>
      <x:c r="C157" s="2" t="str">
        <x:v>Guano ----     </x:v>
      </x:c>
      <x:c r="D157" s="2" t="str">
        <x:v>"</x:v>
      </x:c>
      <x:c r="E157" s="8" t="n">
        <x:v>1670</x:v>
      </x:c>
      <x:c r="F157" s="8" t="n">
        <x:v>10020</x:v>
      </x:c>
    </x:row>
    <x:row r="158" ht="23" customHeight="1">
      <x:c r="A158" s="2" t="str">
        <x:v>Imports</x:v>
      </x:c>
      <x:c r="B158" s="2" t="n">
        <x:v>154</x:v>
      </x:c>
      <x:c r="C158" s="2" t="str">
        <x:v>Kainit ----     </x:v>
      </x:c>
      <x:c r="D158" s="2" t="str">
        <x:v>"</x:v>
      </x:c>
      <x:c r="E158" s="8" t="n">
        <x:v>3456</x:v>
      </x:c>
      <x:c r="F158" s="8" t="n">
        <x:v>8640</x:v>
      </x:c>
    </x:row>
    <x:row r="159" ht="23" customHeight="1">
      <x:c r="A159" s="2" t="str">
        <x:v>Imports</x:v>
      </x:c>
      <x:c r="B159" s="2" t="n">
        <x:v>155</x:v>
      </x:c>
      <x:c r="C159" s="2" t="str">
        <x:v>Soda, Nitrate, ----     </x:v>
      </x:c>
      <x:c r="D159" s="2" t="str">
        <x:v>"</x:v>
      </x:c>
      <x:c r="E159" s="8" t="n">
        <x:v>6825</x:v>
      </x:c>
      <x:c r="F159" s="8" t="n">
        <x:v>71663</x:v>
      </x:c>
    </x:row>
    <x:row r="160" ht="23" customHeight="1">
      <x:c r="A160" s="2" t="str">
        <x:v>Imports</x:v>
      </x:c>
      <x:c r="B160" s="2" t="n">
        <x:v>156</x:v>
      </x:c>
      <x:c r="C160" s="2" t="str">
        <x:v>Sulphate of Ammonia ----     </x:v>
      </x:c>
      <x:c r="D160" s="2" t="str">
        <x:v>"</x:v>
      </x:c>
      <x:c r="E160" s="8" t="n">
        <x:v>678</x:v>
      </x:c>
      <x:c r="F160" s="8" t="n">
        <x:v>8163</x:v>
      </x:c>
    </x:row>
    <x:row r="161" ht="23" customHeight="1">
      <x:c r="A161" s="2" t="str">
        <x:v>Imports</x:v>
      </x:c>
      <x:c r="B161" s="2" t="n">
        <x:v>157</x:v>
      </x:c>
      <x:c r="C161" s="2" t="str">
        <x:v>Mineral Phosphate, Raw ----     </x:v>
      </x:c>
      <x:c r="D161" s="2" t="str">
        <x:v>"</x:v>
      </x:c>
      <x:c r="E161" s="8" t="n">
        <x:v>60981</x:v>
      </x:c>
      <x:c r="F161" s="8" t="n">
        <x:v>91472</x:v>
      </x:c>
    </x:row>
    <x:row r="162" ht="23" customHeight="1">
      <x:c r="A162" s="2" t="str">
        <x:v>Imports</x:v>
      </x:c>
      <x:c r="B162" s="2" t="n">
        <x:v>158</x:v>
      </x:c>
      <x:c r="C162" s="2" t="str">
        <x:v>Superphosphate ----     </x:v>
      </x:c>
      <x:c r="D162" s="2" t="str">
        <x:v>"</x:v>
      </x:c>
      <x:c r="E162" s="8" t="n">
        <x:v>2341</x:v>
      </x:c>
      <x:c r="F162" s="8" t="n">
        <x:v>5852</x:v>
      </x:c>
    </x:row>
    <x:row r="163" ht="23" customHeight="1">
      <x:c r="A163" s="2" t="str">
        <x:v>Imports</x:v>
      </x:c>
      <x:c r="B163" s="2" t="n">
        <x:v>159</x:v>
      </x:c>
      <x:c r="C163" s="2" t="str">
        <x:v>Artificial Manures, unclassified ----     </x:v>
      </x:c>
      <x:c r="D163" s="2" t="str">
        <x:v>"</x:v>
      </x:c>
      <x:c r="E163" s="8" t="n">
        <x:v>69952</x:v>
      </x:c>
      <x:c r="F163" s="8" t="n">
        <x:v>434441</x:v>
      </x:c>
    </x:row>
    <x:row r="164" ht="23" customHeight="1">
      <x:c r="A164" s="2" t="str">
        <x:v>Imports</x:v>
      </x:c>
      <x:c r="B164" s="2" t="n">
        <x:v>160</x:v>
      </x:c>
      <x:c r="C164" s="2" t="str">
        <x:v>     </x:v>
      </x:c>
      <x:c r="D164" s="2"/>
      <x:c r="E164" s="8"/>
      <x:c r="F164" s="8"/>
    </x:row>
    <x:row r="165" ht="23" customHeight="1">
      <x:c r="A165" s="2" t="str">
        <x:v>Imports</x:v>
      </x:c>
      <x:c r="B165" s="2" t="n">
        <x:v>161</x:v>
      </x:c>
      <x:c r="C165" s="2" t="str">
        <x:v>     </x:v>
      </x:c>
      <x:c r="D165" s="2"/>
      <x:c r="E165" s="8"/>
      <x:c r="F165" s="8"/>
    </x:row>
    <x:row r="166" ht="23" customHeight="1">
      <x:c r="A166" s="2" t="str">
        <x:v>Imports</x:v>
      </x:c>
      <x:c r="B166" s="2" t="n">
        <x:v>162</x:v>
      </x:c>
      <x:c r="C166" s="2" t="str">
        <x:v>     </x:v>
      </x:c>
      <x:c r="D166" s="2"/>
      <x:c r="E166" s="8"/>
      <x:c r="F166" s="8"/>
    </x:row>
    <x:row r="167" ht="23" customHeight="1">
      <x:c r="A167" s="2" t="str">
        <x:v>Imports</x:v>
      </x:c>
      <x:c r="B167" s="2" t="n">
        <x:v>163</x:v>
      </x:c>
      <x:c r="C167" s="2" t="str">
        <x:v>18. CHINA, EARTHENWARE, and RAW MATERIALS THEREFOR -     </x:v>
      </x:c>
      <x:c r="D167" s="2"/>
      <x:c r="E167" s="8"/>
      <x:c r="F167" s="8"/>
    </x:row>
    <x:row r="168" ht="23" customHeight="1">
      <x:c r="A168" s="2" t="str">
        <x:v>Imports</x:v>
      </x:c>
      <x:c r="B168" s="2" t="n">
        <x:v>164</x:v>
      </x:c>
      <x:c r="C168" s="2" t="str">
        <x:v>Clay ----     </x:v>
      </x:c>
      <x:c r="D168" s="2" t="str">
        <x:v>tons.</x:v>
      </x:c>
      <x:c r="E168" s="8" t="n">
        <x:v>7925</x:v>
      </x:c>
      <x:c r="F168" s="8" t="n">
        <x:v>2972</x:v>
      </x:c>
    </x:row>
    <x:row r="169" ht="23" customHeight="1">
      <x:c r="A169" s="2" t="str">
        <x:v>Imports</x:v>
      </x:c>
      <x:c r="B169" s="2" t="n">
        <x:v>165</x:v>
      </x:c>
      <x:c r="C169" s="2" t="str">
        <x:v>Fireclay ----     </x:v>
      </x:c>
      <x:c r="D169" s="2" t="str">
        <x:v>cwts.</x:v>
      </x:c>
      <x:c r="E169" s="8" t="n">
        <x:v>54926</x:v>
      </x:c>
      <x:c r="F169" s="8" t="n">
        <x:v>1947</x:v>
      </x:c>
    </x:row>
    <x:row r="170" ht="23" customHeight="1">
      <x:c r="A170" s="2" t="str">
        <x:v>Imports</x:v>
      </x:c>
      <x:c r="B170" s="2" t="n">
        <x:v>166</x:v>
      </x:c>
      <x:c r="C170" s="2" t="str">
        <x:v>Pipe Clay ----     </x:v>
      </x:c>
      <x:c r="D170" s="2" t="str">
        <x:v>"</x:v>
      </x:c>
      <x:c r="E170" s="8" t="n">
        <x:v>18262</x:v>
      </x:c>
      <x:c r="F170" s="8" t="n">
        <x:v>10957</x:v>
      </x:c>
    </x:row>
    <x:row r="171" ht="23" customHeight="1">
      <x:c r="A171" s="2" t="str">
        <x:v>Imports</x:v>
      </x:c>
      <x:c r="B171" s="2" t="n">
        <x:v>167</x:v>
      </x:c>
      <x:c r="C171" s="2" t="str">
        <x:v>Bricks ----     </x:v>
      </x:c>
      <x:c r="D171" s="2" t="str">
        <x:v>"</x:v>
      </x:c>
      <x:c r="E171" s="8" t="n">
        <x:v>465622</x:v>
      </x:c>
      <x:c r="F171" s="8" t="n">
        <x:v>25221</x:v>
      </x:c>
    </x:row>
    <x:row r="172" ht="23" customHeight="1">
      <x:c r="A172" s="2" t="str">
        <x:v>Imports</x:v>
      </x:c>
      <x:c r="B172" s="2" t="n">
        <x:v>168</x:v>
      </x:c>
      <x:c r="C172" s="2" t="str">
        <x:v>Bricks, Fireclay ----     </x:v>
      </x:c>
      <x:c r="D172" s="2" t="str">
        <x:v>"</x:v>
      </x:c>
      <x:c r="E172" s="8" t="n">
        <x:v>253196</x:v>
      </x:c>
      <x:c r="F172" s="8" t="n">
        <x:v>12660</x:v>
      </x:c>
    </x:row>
    <x:row r="173" ht="23" customHeight="1">
      <x:c r="A173" s="2" t="str">
        <x:v>Imports</x:v>
      </x:c>
      <x:c r="B173" s="2" t="n">
        <x:v>169</x:v>
      </x:c>
      <x:c r="C173" s="2" t="str">
        <x:v>Tiles ----     </x:v>
      </x:c>
      <x:c r="D173" s="2" t="str">
        <x:v>"</x:v>
      </x:c>
      <x:c r="E173" s="8" t="n">
        <x:v>278583</x:v>
      </x:c>
      <x:c r="F173" s="8" t="n">
        <x:v>38305</x:v>
      </x:c>
    </x:row>
    <x:row r="174" ht="23" customHeight="1">
      <x:c r="A174" s="2" t="str">
        <x:v>Imports</x:v>
      </x:c>
      <x:c r="B174" s="2" t="n">
        <x:v>170</x:v>
      </x:c>
      <x:c r="C174" s="2" t="str">
        <x:v>Terra Cotta ----     </x:v>
      </x:c>
      <x:c r="D174" s="2" t="str">
        <x:v>"</x:v>
      </x:c>
      <x:c r="E174" s="8" t="n">
        <x:v>1899</x:v>
      </x:c>
      <x:c r="F174" s="8" t="n">
        <x:v>950</x:v>
      </x:c>
    </x:row>
    <x:row r="175" ht="23" customHeight="1">
      <x:c r="A175" s="2" t="str">
        <x:v>Imports</x:v>
      </x:c>
      <x:c r="B175" s="2" t="n">
        <x:v>171</x:v>
      </x:c>
      <x:c r="C175" s="2" t="str">
        <x:v>Fireclay Goods ----     </x:v>
      </x:c>
      <x:c r="D175" s="2" t="str">
        <x:v>"</x:v>
      </x:c>
      <x:c r="E175" s="8" t="n">
        <x:v>150882</x:v>
      </x:c>
      <x:c r="F175" s="8" t="n">
        <x:v>139566</x:v>
      </x:c>
    </x:row>
    <x:row r="176" ht="23" customHeight="1">
      <x:c r="A176" s="2" t="str">
        <x:v>Imports</x:v>
      </x:c>
      <x:c r="B176" s="2" t="n">
        <x:v>172</x:v>
      </x:c>
      <x:c r="C176" s="2" t="str">
        <x:v>Sewer and Drain Pipes ----     </x:v>
      </x:c>
      <x:c r="D176" s="2" t="str">
        <x:v>"</x:v>
      </x:c>
      <x:c r="E176" s="8" t="n">
        <x:v>200095</x:v>
      </x:c>
      <x:c r="F176" s="8" t="n">
        <x:v>18342</x:v>
      </x:c>
    </x:row>
    <x:row r="177" ht="23" customHeight="1">
      <x:c r="A177" s="2" t="str">
        <x:v>Imports</x:v>
      </x:c>
      <x:c r="B177" s="2" t="n">
        <x:v>173</x:v>
      </x:c>
      <x:c r="C177" s="2" t="str">
        <x:v>Flower Pots, Clay ----     </x:v>
      </x:c>
      <x:c r="D177" s="2" t="str">
        <x:v>"</x:v>
      </x:c>
      <x:c r="E177" s="8" t="n">
        <x:v>3478</x:v>
      </x:c>
      <x:c r="F177" s="8" t="n">
        <x:v>783</x:v>
      </x:c>
    </x:row>
    <x:row r="178" ht="23" customHeight="1">
      <x:c r="A178" s="2" t="str">
        <x:v>Imports</x:v>
      </x:c>
      <x:c r="B178" s="2" t="n">
        <x:v>174</x:v>
      </x:c>
      <x:c r="C178" s="2" t="str">
        <x:v>Earthenware, unclassified ----     </x:v>
      </x:c>
      <x:c r="D178" s="2" t="str">
        <x:v>"</x:v>
      </x:c>
      <x:c r="E178" s="8" t="n">
        <x:v>171287</x:v>
      </x:c>
      <x:c r="F178" s="8" t="n">
        <x:v>51386</x:v>
      </x:c>
    </x:row>
    <x:row r="179" ht="23" customHeight="1">
      <x:c r="A179" s="2" t="str">
        <x:v>Imports</x:v>
      </x:c>
      <x:c r="B179" s="2" t="n">
        <x:v>175</x:v>
      </x:c>
      <x:c r="C179" s="2" t="str">
        <x:v>China Clay ----     </x:v>
      </x:c>
      <x:c r="D179" s="2" t="str">
        <x:v>"</x:v>
      </x:c>
      <x:c r="E179" s="8" t="n">
        <x:v>45105</x:v>
      </x:c>
      <x:c r="F179" s="8" t="n">
        <x:v>2818</x:v>
      </x:c>
    </x:row>
    <x:row r="180" ht="23" customHeight="1">
      <x:c r="A180" s="2" t="str">
        <x:v>Imports</x:v>
      </x:c>
      <x:c r="B180" s="2" t="n">
        <x:v>176</x:v>
      </x:c>
      <x:c r="C180" s="2" t="str">
        <x:v>Chinaware ----     </x:v>
      </x:c>
      <x:c r="D180" s="2" t="str">
        <x:v>"</x:v>
      </x:c>
      <x:c r="E180" s="8" t="n">
        <x:v>4220</x:v>
      </x:c>
      <x:c r="F180" s="8" t="n">
        <x:v>21100</x:v>
      </x:c>
    </x:row>
    <x:row r="181" ht="23" customHeight="1">
      <x:c r="A181" s="2" t="str">
        <x:v>Imports</x:v>
      </x:c>
      <x:c r="B181" s="2" t="n">
        <x:v>177</x:v>
      </x:c>
      <x:c r="C181" s="2" t="str">
        <x:v>     </x:v>
      </x:c>
      <x:c r="D181" s="2"/>
      <x:c r="E181" s="8"/>
      <x:c r="F181" s="8"/>
    </x:row>
    <x:row r="182" ht="23" customHeight="1">
      <x:c r="A182" s="2" t="str">
        <x:v>Imports</x:v>
      </x:c>
      <x:c r="B182" s="2" t="n">
        <x:v>178</x:v>
      </x:c>
      <x:c r="C182" s="2" t="str">
        <x:v>     </x:v>
      </x:c>
      <x:c r="D182" s="2"/>
      <x:c r="E182" s="8"/>
      <x:c r="F182" s="8"/>
    </x:row>
    <x:row r="183" ht="23" customHeight="1">
      <x:c r="A183" s="2" t="str">
        <x:v>Imports</x:v>
      </x:c>
      <x:c r="B183" s="2" t="n">
        <x:v>179</x:v>
      </x:c>
      <x:c r="C183" s="2" t="str">
        <x:v>     </x:v>
      </x:c>
      <x:c r="D183" s="2"/>
      <x:c r="E183" s="8"/>
      <x:c r="F183" s="8"/>
    </x:row>
    <x:row r="184" ht="23" customHeight="1">
      <x:c r="A184" s="2" t="str">
        <x:v>Imports</x:v>
      </x:c>
      <x:c r="B184" s="2" t="n">
        <x:v>180</x:v>
      </x:c>
      <x:c r="C184" s="2" t="str">
        <x:v>19. CHOCOLATE ----     </x:v>
      </x:c>
      <x:c r="D184" s="2" t="str">
        <x:v>lbs.</x:v>
      </x:c>
      <x:c r="E184" s="8" t="n">
        <x:v>183008</x:v>
      </x:c>
      <x:c r="F184" s="8" t="n">
        <x:v>18383</x:v>
      </x:c>
    </x:row>
    <x:row r="185" ht="23" customHeight="1">
      <x:c r="A185" s="2" t="str">
        <x:v>Imports</x:v>
      </x:c>
      <x:c r="B185" s="2" t="n">
        <x:v>181</x:v>
      </x:c>
      <x:c r="C185" s="2" t="str">
        <x:v>     </x:v>
      </x:c>
      <x:c r="D185" s="2"/>
      <x:c r="E185" s="8"/>
      <x:c r="F185" s="8"/>
    </x:row>
    <x:row r="186" ht="23" customHeight="1">
      <x:c r="A186" s="2" t="str">
        <x:v>Imports</x:v>
      </x:c>
      <x:c r="B186" s="2" t="n">
        <x:v>182</x:v>
      </x:c>
      <x:c r="C186" s="2" t="str">
        <x:v>     </x:v>
      </x:c>
      <x:c r="D186" s="2"/>
      <x:c r="E186" s="8"/>
      <x:c r="F186" s="8"/>
    </x:row>
    <x:row r="187" ht="23" customHeight="1">
      <x:c r="A187" s="2" t="str">
        <x:v>Imports</x:v>
      </x:c>
      <x:c r="B187" s="2" t="n">
        <x:v>183</x:v>
      </x:c>
      <x:c r="C187" s="2" t="str">
        <x:v>     </x:v>
      </x:c>
      <x:c r="D187" s="2"/>
      <x:c r="E187" s="8"/>
      <x:c r="F187" s="8"/>
    </x:row>
    <x:row r="188" ht="23" customHeight="1">
      <x:c r="A188" s="2" t="str">
        <x:v>Imports</x:v>
      </x:c>
      <x:c r="B188" s="2" t="n">
        <x:v>184</x:v>
      </x:c>
      <x:c r="C188" s="2" t="str">
        <x:v>20. COCOA ----     </x:v>
      </x:c>
      <x:c r="D188" s="2" t="str">
        <x:v>"</x:v>
      </x:c>
      <x:c r="E188" s="8" t="n">
        <x:v>3554218</x:v>
      </x:c>
      <x:c r="F188" s="8" t="n">
        <x:v>355422</x:v>
      </x:c>
    </x:row>
    <x:row r="189" ht="23" customHeight="1">
      <x:c r="A189" s="2" t="str">
        <x:v>Imports</x:v>
      </x:c>
      <x:c r="B189" s="2" t="n">
        <x:v>185</x:v>
      </x:c>
      <x:c r="C189" s="2" t="str">
        <x:v>     </x:v>
      </x:c>
      <x:c r="D189" s="2"/>
      <x:c r="E189" s="8"/>
      <x:c r="F189" s="8"/>
    </x:row>
    <x:row r="190" ht="23" customHeight="1">
      <x:c r="A190" s="2" t="str">
        <x:v>Imports</x:v>
      </x:c>
      <x:c r="B190" s="2" t="n">
        <x:v>186</x:v>
      </x:c>
      <x:c r="C190" s="2" t="str">
        <x:v>     </x:v>
      </x:c>
      <x:c r="D190" s="2"/>
      <x:c r="E190" s="8"/>
      <x:c r="F190" s="8"/>
    </x:row>
    <x:row r="191" ht="23" customHeight="1">
      <x:c r="A191" s="2" t="str">
        <x:v>Imports</x:v>
      </x:c>
      <x:c r="B191" s="2" t="n">
        <x:v>187</x:v>
      </x:c>
      <x:c r="C191" s="2" t="str">
        <x:v>     </x:v>
      </x:c>
      <x:c r="D191" s="2"/>
      <x:c r="E191" s="8"/>
      <x:c r="F191" s="8"/>
    </x:row>
    <x:row r="192" ht="23" customHeight="1">
      <x:c r="A192" s="2" t="str">
        <x:v>Imports</x:v>
      </x:c>
      <x:c r="B192" s="2" t="n">
        <x:v>188</x:v>
      </x:c>
      <x:c r="C192" s="2" t="str">
        <x:v>21. CLOCKS ----     </x:v>
      </x:c>
      <x:c r="D192" s="2" t="str">
        <x:v>cwts.</x:v>
      </x:c>
      <x:c r="E192" s="8" t="n">
        <x:v>2545</x:v>
      </x:c>
      <x:c r="F192" s="8" t="n">
        <x:v>7635</x:v>
      </x:c>
    </x:row>
    <x:row r="193" ht="23" customHeight="1">
      <x:c r="A193" s="2" t="str">
        <x:v>Imports</x:v>
      </x:c>
      <x:c r="B193" s="2" t="n">
        <x:v>189</x:v>
      </x:c>
      <x:c r="C193" s="2" t="str">
        <x:v>     </x:v>
      </x:c>
      <x:c r="D193" s="2"/>
      <x:c r="E193" s="8"/>
      <x:c r="F193" s="8"/>
    </x:row>
    <x:row r="194" ht="23" customHeight="1">
      <x:c r="A194" s="2" t="str">
        <x:v>Imports</x:v>
      </x:c>
      <x:c r="B194" s="2" t="n">
        <x:v>190</x:v>
      </x:c>
      <x:c r="C194" s="2" t="str">
        <x:v>     </x:v>
      </x:c>
      <x:c r="D194" s="2"/>
      <x:c r="E194" s="8"/>
      <x:c r="F194" s="8"/>
    </x:row>
    <x:row r="195" ht="23" customHeight="1">
      <x:c r="A195" s="2" t="str">
        <x:v>Imports</x:v>
      </x:c>
      <x:c r="B195" s="2" t="n">
        <x:v>191</x:v>
      </x:c>
      <x:c r="C195" s="2" t="str">
        <x:v>     </x:v>
      </x:c>
      <x:c r="D195" s="2"/>
      <x:c r="E195" s="8"/>
      <x:c r="F195" s="8"/>
    </x:row>
    <x:row r="196" ht="23" customHeight="1">
      <x:c r="A196" s="2" t="str">
        <x:v>Imports</x:v>
      </x:c>
      <x:c r="B196" s="2" t="n">
        <x:v>192</x:v>
      </x:c>
      <x:c r="C196" s="2" t="str">
        <x:v>22. COAL ----     </x:v>
      </x:c>
      <x:c r="D196" s="2" t="str">
        <x:v>tons.</x:v>
      </x:c>
      <x:c r="E196" s="8" t="n">
        <x:v>4413995</x:v>
      </x:c>
      <x:c r="F196" s="8" t="n">
        <x:v>2648390</x:v>
      </x:c>
    </x:row>
    <x:row r="197" ht="23" customHeight="1">
      <x:c r="A197" s="2" t="str">
        <x:v>Imports</x:v>
      </x:c>
      <x:c r="B197" s="2" t="n">
        <x:v>193</x:v>
      </x:c>
      <x:c r="C197" s="2" t="str">
        <x:v>"     - Coke ----     </x:v>
      </x:c>
      <x:c r="D197" s="2" t="str">
        <x:v>"</x:v>
      </x:c>
      <x:c r="E197" s="8" t="n">
        <x:v>18423</x:v>
      </x:c>
      <x:c r="F197" s="8" t="n">
        <x:v>16581</x:v>
      </x:c>
    </x:row>
    <x:row r="198" ht="23" customHeight="1">
      <x:c r="A198" s="2" t="str">
        <x:v>Imports</x:v>
      </x:c>
      <x:c r="B198" s="2" t="n">
        <x:v>194</x:v>
      </x:c>
      <x:c r="C198" s="2" t="str">
        <x:v>     </x:v>
      </x:c>
      <x:c r="D198" s="2"/>
      <x:c r="E198" s="8"/>
      <x:c r="F198" s="8"/>
    </x:row>
    <x:row r="199" ht="23" customHeight="1">
      <x:c r="A199" s="2" t="str">
        <x:v>Imports</x:v>
      </x:c>
      <x:c r="B199" s="2" t="n">
        <x:v>195</x:v>
      </x:c>
      <x:c r="C199" s="2" t="str">
        <x:v>     </x:v>
      </x:c>
      <x:c r="D199" s="2"/>
      <x:c r="E199" s="8"/>
      <x:c r="F199" s="8"/>
    </x:row>
    <x:row r="200" ht="23" customHeight="1">
      <x:c r="A200" s="2" t="str">
        <x:v>Imports</x:v>
      </x:c>
      <x:c r="B200" s="2" t="n">
        <x:v>196</x:v>
      </x:c>
      <x:c r="C200" s="2" t="str">
        <x:v>     </x:v>
      </x:c>
      <x:c r="D200" s="2"/>
      <x:c r="E200" s="8"/>
      <x:c r="F200" s="8"/>
    </x:row>
    <x:row r="201" ht="23" customHeight="1">
      <x:c r="A201" s="2" t="str">
        <x:v>Imports</x:v>
      </x:c>
      <x:c r="B201" s="2" t="n">
        <x:v>197</x:v>
      </x:c>
      <x:c r="C201" s="2" t="str">
        <x:v>23.COFFEE ----     </x:v>
      </x:c>
      <x:c r="D201" s="2" t="str">
        <x:v>lbs.</x:v>
      </x:c>
      <x:c r="E201" s="8" t="n">
        <x:v>1007328</x:v>
      </x:c>
      <x:c r="F201" s="8" t="n">
        <x:v>28331</x:v>
      </x:c>
    </x:row>
    <x:row r="202" ht="23" customHeight="1">
      <x:c r="A202" s="2" t="str">
        <x:v>Imports</x:v>
      </x:c>
      <x:c r="B202" s="2" t="n">
        <x:v>198</x:v>
      </x:c>
      <x:c r="C202" s="2" t="str">
        <x:v>"        - Chicory ----     </x:v>
      </x:c>
      <x:c r="D202" s="2" t="str">
        <x:v>"</x:v>
      </x:c>
      <x:c r="E202" s="8" t="n">
        <x:v>24976</x:v>
      </x:c>
      <x:c r="F202" s="8" t="n">
        <x:v>327</x:v>
      </x:c>
    </x:row>
    <x:row r="203" ht="23" customHeight="1">
      <x:c r="A203" s="2" t="str">
        <x:v>Imports</x:v>
      </x:c>
      <x:c r="B203" s="2" t="n">
        <x:v>199</x:v>
      </x:c>
      <x:c r="C203" s="2" t="str">
        <x:v>     </x:v>
      </x:c>
      <x:c r="D203" s="2"/>
      <x:c r="E203" s="8"/>
      <x:c r="F203" s="8"/>
    </x:row>
    <x:row r="204" ht="23" customHeight="1">
      <x:c r="A204" s="2" t="str">
        <x:v>Imports</x:v>
      </x:c>
      <x:c r="B204" s="2" t="n">
        <x:v>200</x:v>
      </x:c>
      <x:c r="C204" s="2" t="str">
        <x:v>     </x:v>
      </x:c>
      <x:c r="D204" s="2"/>
      <x:c r="E204" s="8"/>
      <x:c r="F204" s="8"/>
    </x:row>
    <x:row r="205" ht="23" customHeight="1">
      <x:c r="A205" s="2" t="str">
        <x:v>Imports</x:v>
      </x:c>
      <x:c r="B205" s="2" t="n">
        <x:v>201</x:v>
      </x:c>
      <x:c r="C205" s="2" t="str">
        <x:v>     </x:v>
      </x:c>
      <x:c r="D205" s="2"/>
      <x:c r="E205" s="8"/>
      <x:c r="F205" s="8"/>
    </x:row>
    <x:row r="206" ht="23" customHeight="1">
      <x:c r="A206" s="2" t="str">
        <x:v>Imports</x:v>
      </x:c>
      <x:c r="B206" s="2" t="n">
        <x:v>202</x:v>
      </x:c>
      <x:c r="C206" s="2" t="str">
        <x:v>24.DYES and TANNING SUBSTANCES -     </x:v>
      </x:c>
      <x:c r="D206" s="2"/>
      <x:c r="E206" s="8"/>
      <x:c r="F206" s="8"/>
    </x:row>
    <x:row r="207" ht="23" customHeight="1">
      <x:c r="A207" s="2" t="str">
        <x:v>Imports</x:v>
      </x:c>
      <x:c r="B207" s="2" t="n">
        <x:v>203</x:v>
      </x:c>
      <x:c r="C207" s="2" t="str">
        <x:v>Aniline ---     </x:v>
      </x:c>
      <x:c r="D207" s="2" t="str">
        <x:v>cwts.</x:v>
      </x:c>
      <x:c r="E207" s="8" t="n">
        <x:v>1690</x:v>
      </x:c>
      <x:c r="F207" s="8" t="n">
        <x:v>14124</x:v>
      </x:c>
    </x:row>
    <x:row r="208" ht="23" customHeight="1">
      <x:c r="A208" s="2" t="str">
        <x:v>Imports</x:v>
      </x:c>
      <x:c r="B208" s="2" t="n">
        <x:v>204</x:v>
      </x:c>
      <x:c r="C208" s="2" t="str">
        <x:v>Copperas ----     </x:v>
      </x:c>
      <x:c r="D208" s="2" t="str">
        <x:v>"</x:v>
      </x:c>
      <x:c r="E208" s="8" t="n">
        <x:v>4494</x:v>
      </x:c>
      <x:c r="F208" s="8" t="n">
        <x:v>1797</x:v>
      </x:c>
    </x:row>
    <x:row r="209" ht="23" customHeight="1">
      <x:c r="A209" s="2" t="str">
        <x:v>Imports</x:v>
      </x:c>
      <x:c r="B209" s="2" t="n">
        <x:v>205</x:v>
      </x:c>
      <x:c r="C209" s="2" t="str">
        <x:v>Iron Liquor ----     </x:v>
      </x:c>
      <x:c r="D209" s="2" t="str">
        <x:v>"</x:v>
      </x:c>
      <x:c r="E209" s="8" t="n">
        <x:v>13952</x:v>
      </x:c>
      <x:c r="F209" s="8" t="n">
        <x:v>6278</x:v>
      </x:c>
    </x:row>
    <x:row r="210" ht="23" customHeight="1">
      <x:c r="A210" s="2" t="str">
        <x:v>Imports</x:v>
      </x:c>
      <x:c r="B210" s="2" t="n">
        <x:v>206</x:v>
      </x:c>
      <x:c r="C210" s="2" t="str">
        <x:v>Logwood ----     </x:v>
      </x:c>
      <x:c r="D210" s="2" t="str">
        <x:v>tons.</x:v>
      </x:c>
      <x:c r="E210" s="8" t="n">
        <x:v>172</x:v>
      </x:c>
      <x:c r="F210" s="8" t="n">
        <x:v>860</x:v>
      </x:c>
    </x:row>
    <x:row r="211" ht="23" customHeight="1">
      <x:c r="A211" s="2" t="str">
        <x:v>Imports</x:v>
      </x:c>
      <x:c r="B211" s="2" t="n">
        <x:v>207</x:v>
      </x:c>
      <x:c r="C211" s="2" t="str">
        <x:v>Cutch ----     </x:v>
      </x:c>
      <x:c r="D211" s="2" t="str">
        <x:v>"</x:v>
      </x:c>
      <x:c r="E211" s="8" t="n">
        <x:v>53</x:v>
      </x:c>
      <x:c r="F211" s="8" t="n">
        <x:v>1866</x:v>
      </x:c>
    </x:row>
    <x:row r="212" ht="23" customHeight="1">
      <x:c r="A212" s="2" t="str">
        <x:v>Imports</x:v>
      </x:c>
      <x:c r="B212" s="2" t="n">
        <x:v>208</x:v>
      </x:c>
      <x:c r="C212" s="2" t="str">
        <x:v>Myrabolans ----     </x:v>
      </x:c>
      <x:c r="D212" s="2" t="str">
        <x:v>cwts.</x:v>
      </x:c>
      <x:c r="E212" s="8" t="n">
        <x:v>1262</x:v>
      </x:c>
      <x:c r="F212" s="8" t="n">
        <x:v>316</x:v>
      </x:c>
    </x:row>
    <x:row r="213" ht="23" customHeight="1">
      <x:c r="A213" s="2" t="str">
        <x:v>Imports</x:v>
      </x:c>
      <x:c r="B213" s="2" t="n">
        <x:v>209</x:v>
      </x:c>
      <x:c r="C213" s="2" t="str">
        <x:v>Sumach ----     </x:v>
      </x:c>
      <x:c r="D213" s="2" t="str">
        <x:v>tons.</x:v>
      </x:c>
      <x:c r="E213" s="8" t="n">
        <x:v>72</x:v>
      </x:c>
      <x:c r="F213" s="8" t="n">
        <x:v>725</x:v>
      </x:c>
    </x:row>
    <x:row r="214" ht="23" customHeight="1">
      <x:c r="A214" s="2" t="str">
        <x:v>Imports</x:v>
      </x:c>
      <x:c r="B214" s="2" t="n">
        <x:v>210</x:v>
      </x:c>
      <x:c r="C214" s="2" t="str">
        <x:v>Gambier ----     </x:v>
      </x:c>
      <x:c r="D214" s="2" t="str">
        <x:v>"</x:v>
      </x:c>
      <x:c r="E214" s="8" t="n">
        <x:v>18</x:v>
      </x:c>
      <x:c r="F214" s="8" t="n">
        <x:v>456</x:v>
      </x:c>
    </x:row>
    <x:row r="215" ht="23" customHeight="1">
      <x:c r="A215" s="2" t="str">
        <x:v>Imports</x:v>
      </x:c>
      <x:c r="B215" s="2" t="n">
        <x:v>211</x:v>
      </x:c>
      <x:c r="C215" s="2" t="str">
        <x:v>Valonia ----     </x:v>
      </x:c>
      <x:c r="D215" s="2" t="str">
        <x:v>"</x:v>
      </x:c>
      <x:c r="E215" s="8" t="n">
        <x:v>284</x:v>
      </x:c>
      <x:c r="F215" s="8" t="n">
        <x:v>2642</x:v>
      </x:c>
    </x:row>
    <x:row r="216" ht="23" customHeight="1">
      <x:c r="A216" s="2" t="str">
        <x:v>Imports</x:v>
      </x:c>
      <x:c r="B216" s="2" t="n">
        <x:v>212</x:v>
      </x:c>
      <x:c r="C216" s="2" t="str">
        <x:v>Bark ----     </x:v>
      </x:c>
      <x:c r="D216" s="2" t="str">
        <x:v>cwts.</x:v>
      </x:c>
      <x:c r="E216" s="8" t="n">
        <x:v>8297</x:v>
      </x:c>
      <x:c r="F216" s="8" t="n">
        <x:v>2697</x:v>
      </x:c>
    </x:row>
    <x:row r="217" ht="23" customHeight="1">
      <x:c r="A217" s="2" t="str">
        <x:v>Imports</x:v>
      </x:c>
      <x:c r="B217" s="2" t="n">
        <x:v>213</x:v>
      </x:c>
      <x:c r="C217" s="2" t="str">
        <x:v>Extract ----     </x:v>
      </x:c>
      <x:c r="D217" s="2" t="str">
        <x:v>"</x:v>
      </x:c>
      <x:c r="E217" s="8" t="n">
        <x:v>7814</x:v>
      </x:c>
      <x:c r="F217" s="8" t="n">
        <x:v>4102</x:v>
      </x:c>
    </x:row>
    <x:row r="218" ht="23" customHeight="1">
      <x:c r="A218" s="2" t="str">
        <x:v>Imports</x:v>
      </x:c>
      <x:c r="B218" s="2" t="n">
        <x:v>214</x:v>
      </x:c>
      <x:c r="C218" s="2" t="str">
        <x:v>Dye's and Tanning Substances, unclassified ----     </x:v>
      </x:c>
      <x:c r="D218" s="2" t="str">
        <x:v>"</x:v>
      </x:c>
      <x:c r="E218" s="8" t="n">
        <x:v>49407</x:v>
      </x:c>
      <x:c r="F218" s="8" t="n">
        <x:v>35968</x:v>
      </x:c>
    </x:row>
    <x:row r="219" ht="23" customHeight="1">
      <x:c r="A219" s="2" t="str">
        <x:v>Imports</x:v>
      </x:c>
      <x:c r="B219" s="2" t="n">
        <x:v>215</x:v>
      </x:c>
      <x:c r="C219" s="2" t="str">
        <x:v>     </x:v>
      </x:c>
      <x:c r="D219" s="2"/>
      <x:c r="E219" s="8"/>
      <x:c r="F219" s="8"/>
    </x:row>
    <x:row r="220" ht="23" customHeight="1">
      <x:c r="A220" s="2" t="str">
        <x:v>Imports</x:v>
      </x:c>
      <x:c r="B220" s="2" t="n">
        <x:v>216</x:v>
      </x:c>
      <x:c r="C220" s="2" t="str">
        <x:v>     </x:v>
      </x:c>
      <x:c r="D220" s="2"/>
      <x:c r="E220" s="8"/>
      <x:c r="F220" s="8"/>
    </x:row>
    <x:row r="221" ht="23" customHeight="1">
      <x:c r="A221" s="2" t="str">
        <x:v>Imports</x:v>
      </x:c>
      <x:c r="B221" s="2" t="n">
        <x:v>217</x:v>
      </x:c>
      <x:c r="C221" s="2" t="str">
        <x:v>     </x:v>
      </x:c>
      <x:c r="D221" s="2"/>
      <x:c r="E221" s="8"/>
      <x:c r="F221" s="8"/>
    </x:row>
    <x:row r="222" ht="23" customHeight="1">
      <x:c r="A222" s="2" t="str">
        <x:v>Imports</x:v>
      </x:c>
      <x:c r="B222" s="2" t="n">
        <x:v>218</x:v>
      </x:c>
      <x:c r="C222" s="2" t="str">
        <x:v>25.EGGS ----     </x:v>
      </x:c>
      <x:c r="D222" s="2" t="str">
        <x:v>gt. Hdrds.</x:v>
      </x:c>
      <x:c r="E222" s="8" t="n">
        <x:v>114114</x:v>
      </x:c>
      <x:c r="F222" s="8" t="n">
        <x:v>37087</x:v>
      </x:c>
    </x:row>
    <x:row r="223" ht="23" customHeight="1">
      <x:c r="A223" s="2" t="str">
        <x:v>Imports</x:v>
      </x:c>
      <x:c r="B223" s="2" t="n">
        <x:v>219</x:v>
      </x:c>
      <x:c r="C223" s="2" t="str">
        <x:v>"    - Egg Yolks ----     </x:v>
      </x:c>
      <x:c r="D223" s="2" t="str">
        <x:v>cwts.</x:v>
      </x:c>
      <x:c r="E223" s="8" t="n">
        <x:v>471</x:v>
      </x:c>
      <x:c r="F223" s="8" t="n">
        <x:v>1413</x:v>
      </x:c>
    </x:row>
    <x:row r="224" ht="23" customHeight="1">
      <x:c r="A224" s="2" t="str">
        <x:v>Imports</x:v>
      </x:c>
      <x:c r="B224" s="2" t="n">
        <x:v>220</x:v>
      </x:c>
      <x:c r="C224" s="2" t="str">
        <x:v>     </x:v>
      </x:c>
      <x:c r="D224" s="2"/>
      <x:c r="E224" s="8"/>
      <x:c r="F224" s="8"/>
    </x:row>
    <x:row r="225" ht="23" customHeight="1">
      <x:c r="A225" s="2" t="str">
        <x:v>Imports</x:v>
      </x:c>
      <x:c r="B225" s="2" t="n">
        <x:v>221</x:v>
      </x:c>
      <x:c r="C225" s="2" t="str">
        <x:v>     </x:v>
      </x:c>
      <x:c r="D225" s="2"/>
      <x:c r="E225" s="8"/>
      <x:c r="F225" s="8"/>
    </x:row>
    <x:row r="226" ht="23" customHeight="1">
      <x:c r="A226" s="2" t="str">
        <x:v>Imports</x:v>
      </x:c>
      <x:c r="B226" s="2" t="n">
        <x:v>222</x:v>
      </x:c>
      <x:c r="C226" s="2" t="str">
        <x:v>     </x:v>
      </x:c>
      <x:c r="D226" s="2"/>
      <x:c r="E226" s="8"/>
      <x:c r="F226" s="8"/>
    </x:row>
    <x:row r="227" ht="23" customHeight="1">
      <x:c r="A227" s="2" t="str">
        <x:v>Imports</x:v>
      </x:c>
      <x:c r="B227" s="2" t="n">
        <x:v>223</x:v>
      </x:c>
      <x:c r="C227" s="2" t="str">
        <x:v>26. FATS ----     </x:v>
      </x:c>
      <x:c r="D227" s="2"/>
      <x:c r="E227" s="8"/>
      <x:c r="F227" s="8"/>
    </x:row>
    <x:row r="228" ht="23" customHeight="1">
      <x:c r="A228" s="2" t="str">
        <x:v>Imports</x:v>
      </x:c>
      <x:c r="B228" s="2" t="n">
        <x:v>224</x:v>
      </x:c>
      <x:c r="C228" s="2" t="str">
        <x:v>Lard ----     </x:v>
      </x:c>
      <x:c r="D228" s="2" t="str">
        <x:v>cwts.</x:v>
      </x:c>
      <x:c r="E228" s="8" t="n">
        <x:v>76045</x:v>
      </x:c>
      <x:c r="F228" s="8" t="n">
        <x:v>184409</x:v>
      </x:c>
    </x:row>
    <x:row r="229" ht="23" customHeight="1">
      <x:c r="A229" s="2" t="str">
        <x:v>Imports</x:v>
      </x:c>
      <x:c r="B229" s="2" t="n">
        <x:v>225</x:v>
      </x:c>
      <x:c r="C229" s="2" t="str">
        <x:v>Stearine ----     </x:v>
      </x:c>
      <x:c r="D229" s="2" t="str">
        <x:v>"</x:v>
      </x:c>
      <x:c r="E229" s="8" t="n">
        <x:v>3300</x:v>
      </x:c>
      <x:c r="F229" s="8" t="n">
        <x:v>6244</x:v>
      </x:c>
    </x:row>
    <x:row r="230" ht="23" customHeight="1">
      <x:c r="A230" s="2" t="str">
        <x:v>Imports</x:v>
      </x:c>
      <x:c r="B230" s="2" t="n">
        <x:v>226</x:v>
      </x:c>
      <x:c r="C230" s="2" t="str">
        <x:v>Tallow ----     </x:v>
      </x:c>
      <x:c r="D230" s="2" t="str">
        <x:v>"</x:v>
      </x:c>
      <x:c r="E230" s="8" t="n">
        <x:v>30179</x:v>
      </x:c>
      <x:c r="F230" s="8" t="n">
        <x:v>41496</x:v>
      </x:c>
    </x:row>
    <x:row r="231" ht="23" customHeight="1">
      <x:c r="A231" s="2" t="str">
        <x:v>Imports</x:v>
      </x:c>
      <x:c r="B231" s="2" t="n">
        <x:v>227</x:v>
      </x:c>
      <x:c r="C231" s="2" t="str">
        <x:v>Grease ----     </x:v>
      </x:c>
      <x:c r="D231" s="2" t="str">
        <x:v>"</x:v>
      </x:c>
      <x:c r="E231" s="8" t="n">
        <x:v>25641</x:v>
      </x:c>
      <x:c r="F231" s="8" t="n">
        <x:v>10256</x:v>
      </x:c>
    </x:row>
    <x:row r="232" ht="23" customHeight="1">
      <x:c r="A232" s="2" t="str">
        <x:v>Imports</x:v>
      </x:c>
      <x:c r="B232" s="2" t="n">
        <x:v>228</x:v>
      </x:c>
      <x:c r="C232" s="2" t="str">
        <x:v>     </x:v>
      </x:c>
      <x:c r="D232" s="2"/>
      <x:c r="E232" s="8"/>
      <x:c r="F232" s="8"/>
    </x:row>
    <x:row r="233" ht="23" customHeight="1">
      <x:c r="A233" s="2" t="str">
        <x:v>Imports</x:v>
      </x:c>
      <x:c r="B233" s="2" t="n">
        <x:v>229</x:v>
      </x:c>
      <x:c r="C233" s="2" t="str">
        <x:v>     </x:v>
      </x:c>
      <x:c r="D233" s="2"/>
      <x:c r="E233" s="8"/>
      <x:c r="F233" s="8"/>
    </x:row>
    <x:row r="234" ht="23" customHeight="1">
      <x:c r="A234" s="2" t="str">
        <x:v>Imports</x:v>
      </x:c>
      <x:c r="B234" s="2" t="n">
        <x:v>230</x:v>
      </x:c>
      <x:c r="C234" s="2" t="str">
        <x:v>     </x:v>
      </x:c>
      <x:c r="D234" s="2"/>
      <x:c r="E234" s="8"/>
      <x:c r="F234" s="8"/>
    </x:row>
    <x:row r="235" ht="23" customHeight="1">
      <x:c r="A235" s="2" t="str">
        <x:v>Imports</x:v>
      </x:c>
      <x:c r="B235" s="2" t="n">
        <x:v>231</x:v>
      </x:c>
      <x:c r="C235" s="2" t="str">
        <x:v>27. FEATHERS ----     </x:v>
      </x:c>
      <x:c r="D235" s="2" t="str">
        <x:v>"</x:v>
      </x:c>
      <x:c r="E235" s="8" t="n">
        <x:v>1207</x:v>
      </x:c>
      <x:c r="F235" s="8" t="n">
        <x:v>3621</x:v>
      </x:c>
    </x:row>
    <x:row r="236" ht="23" customHeight="1">
      <x:c r="A236" s="2" t="str">
        <x:v>Imports</x:v>
      </x:c>
      <x:c r="B236" s="2" t="n">
        <x:v>232</x:v>
      </x:c>
      <x:c r="C236" s="2" t="str">
        <x:v>     </x:v>
      </x:c>
      <x:c r="D236" s="2"/>
      <x:c r="E236" s="8"/>
      <x:c r="F236" s="8"/>
    </x:row>
    <x:row r="237" ht="23" customHeight="1">
      <x:c r="A237" s="2" t="str">
        <x:v>Imports</x:v>
      </x:c>
      <x:c r="B237" s="2" t="n">
        <x:v>233</x:v>
      </x:c>
      <x:c r="C237" s="2" t="str">
        <x:v>     </x:v>
      </x:c>
      <x:c r="D237" s="2"/>
      <x:c r="E237" s="8"/>
      <x:c r="F237" s="8"/>
    </x:row>
    <x:row r="238" ht="23" customHeight="1">
      <x:c r="A238" s="2" t="str">
        <x:v>Imports</x:v>
      </x:c>
      <x:c r="B238" s="2" t="n">
        <x:v>234</x:v>
      </x:c>
      <x:c r="C238" s="2" t="str">
        <x:v>     </x:v>
      </x:c>
      <x:c r="D238" s="2"/>
      <x:c r="E238" s="8"/>
      <x:c r="F238" s="8"/>
    </x:row>
    <x:row r="239" ht="23" customHeight="1">
      <x:c r="A239" s="2" t="str">
        <x:v>Imports</x:v>
      </x:c>
      <x:c r="B239" s="2" t="n">
        <x:v>235</x:v>
      </x:c>
      <x:c r="C239" s="2" t="str">
        <x:v>28. FISH -     </x:v>
      </x:c>
      <x:c r="D239" s="2"/>
      <x:c r="E239" s="8"/>
      <x:c r="F239" s="8"/>
    </x:row>
    <x:row r="240" ht="23" customHeight="1">
      <x:c r="A240" s="2" t="str">
        <x:v>Imports</x:v>
      </x:c>
      <x:c r="B240" s="2" t="n">
        <x:v>236</x:v>
      </x:c>
      <x:c r="C240" s="2" t="str">
        <x:v>Herrings, Fresh ----     </x:v>
      </x:c>
      <x:c r="D240" s="2" t="str">
        <x:v>"</x:v>
      </x:c>
      <x:c r="E240" s="8" t="n">
        <x:v>6702</x:v>
      </x:c>
      <x:c r="F240" s="8" t="n">
        <x:v>2792</x:v>
      </x:c>
    </x:row>
    <x:row r="241" ht="23" customHeight="1">
      <x:c r="A241" s="2" t="str">
        <x:v>Imports</x:v>
      </x:c>
      <x:c r="B241" s="2" t="n">
        <x:v>237</x:v>
      </x:c>
      <x:c r="C241" s="2" t="str">
        <x:v>Herrings, Cured ----     </x:v>
      </x:c>
      <x:c r="D241" s="2" t="str">
        <x:v>"</x:v>
      </x:c>
      <x:c r="E241" s="8" t="n">
        <x:v>100026</x:v>
      </x:c>
      <x:c r="F241" s="8" t="n">
        <x:v>75020</x:v>
      </x:c>
    </x:row>
    <x:row r="242" ht="23" customHeight="1">
      <x:c r="A242" s="2" t="str">
        <x:v>Imports</x:v>
      </x:c>
      <x:c r="B242" s="2" t="n">
        <x:v>238</x:v>
      </x:c>
      <x:c r="C242" s="2" t="str">
        <x:v>Fish, Dried and Preserved ----     </x:v>
      </x:c>
      <x:c r="D242" s="2" t="str">
        <x:v>"</x:v>
      </x:c>
      <x:c r="E242" s="8" t="n">
        <x:v>53250</x:v>
      </x:c>
      <x:c r="F242" s="8" t="n">
        <x:v>64690</x:v>
      </x:c>
    </x:row>
    <x:row r="243" ht="23" customHeight="1">
      <x:c r="A243" s="2" t="str">
        <x:v>Imports</x:v>
      </x:c>
      <x:c r="B243" s="2" t="n">
        <x:v>239</x:v>
      </x:c>
      <x:c r="C243" s="2" t="str">
        <x:v>Fish, Unclassified ----     </x:v>
      </x:c>
      <x:c r="D243" s="2" t="str">
        <x:v>"</x:v>
      </x:c>
      <x:c r="E243" s="8" t="n">
        <x:v>112911</x:v>
      </x:c>
      <x:c r="F243" s="8" t="n">
        <x:v>103502</x:v>
      </x:c>
    </x:row>
    <x:row r="244" ht="23" customHeight="1">
      <x:c r="A244" s="2" t="str">
        <x:v>Imports</x:v>
      </x:c>
      <x:c r="B244" s="2" t="n">
        <x:v>240</x:v>
      </x:c>
      <x:c r="C244" s="2" t="str">
        <x:v>Shell Fish - Oysters ----     </x:v>
      </x:c>
      <x:c r="D244" s="2" t="str">
        <x:v>"</x:v>
      </x:c>
      <x:c r="E244" s="8" t="n">
        <x:v>10613</x:v>
      </x:c>
      <x:c r="F244" s="8" t="n">
        <x:v>6368</x:v>
      </x:c>
    </x:row>
    <x:row r="245" ht="23" customHeight="1">
      <x:c r="A245" s="2" t="str">
        <x:v>Imports</x:v>
      </x:c>
      <x:c r="B245" s="2" t="n">
        <x:v>241</x:v>
      </x:c>
      <x:c r="C245" s="2" t="str">
        <x:v>"       "    - Unclassified ----     </x:v>
      </x:c>
      <x:c r="D245" s="2" t="str">
        <x:v>"</x:v>
      </x:c>
      <x:c r="E245" s="8" t="n">
        <x:v>1458</x:v>
      </x:c>
      <x:c r="F245" s="8" t="n">
        <x:v>1696</x:v>
      </x:c>
    </x:row>
    <x:row r="246" ht="23" customHeight="1">
      <x:c r="A246" s="2" t="str">
        <x:v>Imports</x:v>
      </x:c>
      <x:c r="B246" s="2" t="n">
        <x:v>242</x:v>
      </x:c>
      <x:c r="C246" s="2" t="str">
        <x:v>     </x:v>
      </x:c>
      <x:c r="D246" s="2"/>
      <x:c r="E246" s="8"/>
      <x:c r="F246" s="8"/>
    </x:row>
    <x:row r="247" ht="23" customHeight="1">
      <x:c r="A247" s="2" t="str">
        <x:v>Imports</x:v>
      </x:c>
      <x:c r="B247" s="2" t="n">
        <x:v>243</x:v>
      </x:c>
      <x:c r="C247" s="2" t="str">
        <x:v>     </x:v>
      </x:c>
      <x:c r="D247" s="2"/>
      <x:c r="E247" s="8"/>
      <x:c r="F247" s="8"/>
    </x:row>
    <x:row r="248" ht="23" customHeight="1">
      <x:c r="A248" s="2" t="str">
        <x:v>Imports</x:v>
      </x:c>
      <x:c r="B248" s="2" t="n">
        <x:v>244</x:v>
      </x:c>
      <x:c r="C248" s="2" t="str">
        <x:v>     </x:v>
      </x:c>
      <x:c r="D248" s="2"/>
      <x:c r="E248" s="8"/>
      <x:c r="F248" s="8"/>
    </x:row>
    <x:row r="249" ht="23" customHeight="1">
      <x:c r="A249" s="2" t="str">
        <x:v>Imports</x:v>
      </x:c>
      <x:c r="B249" s="2" t="n">
        <x:v>245</x:v>
      </x:c>
      <x:c r="C249" s="2" t="str">
        <x:v>29. FISHING NETS ----     </x:v>
      </x:c>
      <x:c r="D249" s="2" t="str">
        <x:v>"</x:v>
      </x:c>
      <x:c r="E249" s="8" t="n">
        <x:v>2873</x:v>
      </x:c>
      <x:c r="F249" s="8" t="n">
        <x:v>11492</x:v>
      </x:c>
    </x:row>
    <x:row r="250" ht="23" customHeight="1">
      <x:c r="A250" s="2" t="str">
        <x:v>Imports</x:v>
      </x:c>
      <x:c r="B250" s="2" t="n">
        <x:v>246</x:v>
      </x:c>
      <x:c r="C250" s="2" t="str">
        <x:v>     </x:v>
      </x:c>
      <x:c r="D250" s="2"/>
      <x:c r="E250" s="8"/>
      <x:c r="F250" s="8"/>
    </x:row>
    <x:row r="251" ht="23" customHeight="1">
      <x:c r="A251" s="2" t="str">
        <x:v>Imports</x:v>
      </x:c>
      <x:c r="B251" s="2" t="n">
        <x:v>247</x:v>
      </x:c>
      <x:c r="C251" s="2" t="str">
        <x:v>     </x:v>
      </x:c>
      <x:c r="D251" s="2"/>
      <x:c r="E251" s="8"/>
      <x:c r="F251" s="8"/>
    </x:row>
    <x:row r="252" ht="23" customHeight="1">
      <x:c r="A252" s="2" t="str">
        <x:v>Imports</x:v>
      </x:c>
      <x:c r="B252" s="2" t="n">
        <x:v>248</x:v>
      </x:c>
      <x:c r="C252" s="2" t="str">
        <x:v>     </x:v>
      </x:c>
      <x:c r="D252" s="2"/>
      <x:c r="E252" s="8"/>
      <x:c r="F252" s="8"/>
    </x:row>
    <x:row r="253" ht="23" customHeight="1">
      <x:c r="A253" s="2" t="str">
        <x:v>Imports</x:v>
      </x:c>
      <x:c r="B253" s="2" t="n">
        <x:v>249</x:v>
      </x:c>
      <x:c r="C253" s="2" t="str">
        <x:v>30. FRUITS and VEGETABLES -     </x:v>
      </x:c>
      <x:c r="D253" s="2"/>
      <x:c r="E253" s="8"/>
      <x:c r="F253" s="8"/>
    </x:row>
    <x:row r="254" ht="23" customHeight="1">
      <x:c r="A254" s="2" t="str">
        <x:v>Imports</x:v>
      </x:c>
      <x:c r="B254" s="2" t="n">
        <x:v>250</x:v>
      </x:c>
      <x:c r="C254" s="2" t="str">
        <x:v>Apples and Pears ----     </x:v>
      </x:c>
      <x:c r="D254" s="2" t="str">
        <x:v>cwts.</x:v>
      </x:c>
      <x:c r="E254" s="8" t="n">
        <x:v>133972</x:v>
      </x:c>
      <x:c r="F254" s="8" t="n">
        <x:v>93870</x:v>
      </x:c>
    </x:row>
    <x:row r="255" ht="23" customHeight="1">
      <x:c r="A255" s="2" t="str">
        <x:v>Imports</x:v>
      </x:c>
      <x:c r="B255" s="2" t="n">
        <x:v>251</x:v>
      </x:c>
      <x:c r="C255" s="2" t="str">
        <x:v>Bananas ----     </x:v>
      </x:c>
      <x:c r="D255" s="2" t="str">
        <x:v>"</x:v>
      </x:c>
      <x:c r="E255" s="8" t="n">
        <x:v>17204</x:v>
      </x:c>
      <x:c r="F255" s="8" t="n">
        <x:v>40143</x:v>
      </x:c>
    </x:row>
    <x:row r="256" ht="23" customHeight="1">
      <x:c r="A256" s="2" t="str">
        <x:v>Imports</x:v>
      </x:c>
      <x:c r="B256" s="2" t="n">
        <x:v>252</x:v>
      </x:c>
      <x:c r="C256" s="2" t="str">
        <x:v>Melons ----     </x:v>
      </x:c>
      <x:c r="D256" s="2" t="str">
        <x:v>"</x:v>
      </x:c>
      <x:c r="E256" s="8" t="n">
        <x:v>6108</x:v>
      </x:c>
      <x:c r="F256" s="8" t="n">
        <x:v>2443</x:v>
      </x:c>
    </x:row>
    <x:row r="257" ht="23" customHeight="1">
      <x:c r="A257" s="2" t="str">
        <x:v>Imports</x:v>
      </x:c>
      <x:c r="B257" s="2" t="n">
        <x:v>253</x:v>
      </x:c>
      <x:c r="C257" s="2" t="str">
        <x:v>Oranges ----     </x:v>
      </x:c>
      <x:c r="D257" s="2" t="str">
        <x:v>"</x:v>
      </x:c>
      <x:c r="E257" s="8" t="n">
        <x:v>154242</x:v>
      </x:c>
      <x:c r="F257" s="8" t="n">
        <x:v>84833</x:v>
      </x:c>
    </x:row>
    <x:row r="258" ht="23" customHeight="1">
      <x:c r="A258" s="2" t="str">
        <x:v>Imports</x:v>
      </x:c>
      <x:c r="B258" s="2" t="n">
        <x:v>254</x:v>
      </x:c>
      <x:c r="C258" s="2" t="str">
        <x:v>Lemons ----     </x:v>
      </x:c>
      <x:c r="D258" s="2" t="str">
        <x:v>"</x:v>
      </x:c>
      <x:c r="E258" s="8" t="n">
        <x:v>39735</x:v>
      </x:c>
      <x:c r="F258" s="8" t="n">
        <x:v>31788</x:v>
      </x:c>
    </x:row>
    <x:row r="259" ht="23" customHeight="1">
      <x:c r="A259" s="2" t="str">
        <x:v>Imports</x:v>
      </x:c>
      <x:c r="B259" s="2" t="n">
        <x:v>255</x:v>
      </x:c>
      <x:c r="C259" s="2" t="str">
        <x:v>Tomatoes ----     </x:v>
      </x:c>
      <x:c r="D259" s="2" t="str">
        <x:v>"</x:v>
      </x:c>
      <x:c r="E259" s="8" t="n">
        <x:v>485</x:v>
      </x:c>
      <x:c r="F259" s="8" t="n">
        <x:v>970</x:v>
      </x:c>
    </x:row>
    <x:row r="260" ht="23" customHeight="1">
      <x:c r="A260" s="2" t="str">
        <x:v>Imports</x:v>
      </x:c>
      <x:c r="B260" s="2" t="n">
        <x:v>256</x:v>
      </x:c>
      <x:c r="C260" s="2" t="str">
        <x:v>Almonds ----     </x:v>
      </x:c>
      <x:c r="D260" s="2" t="str">
        <x:v>"</x:v>
      </x:c>
      <x:c r="E260" s="8" t="n">
        <x:v>384</x:v>
      </x:c>
      <x:c r="F260" s="8" t="n">
        <x:v>845</x:v>
      </x:c>
    </x:row>
    <x:row r="261" ht="23" customHeight="1">
      <x:c r="A261" s="2" t="str">
        <x:v>Imports</x:v>
      </x:c>
      <x:c r="B261" s="2" t="n">
        <x:v>257</x:v>
      </x:c>
      <x:c r="C261" s="2" t="str">
        <x:v>Nuts ----     </x:v>
      </x:c>
      <x:c r="D261" s="2" t="str">
        <x:v>"</x:v>
      </x:c>
      <x:c r="E261" s="8" t="n">
        <x:v>9639</x:v>
      </x:c>
      <x:c r="F261" s="8" t="n">
        <x:v>13495</x:v>
      </x:c>
    </x:row>
    <x:row r="262" ht="23" customHeight="1">
      <x:c r="A262" s="2" t="str">
        <x:v>Imports</x:v>
      </x:c>
      <x:c r="B262" s="2" t="n">
        <x:v>258</x:v>
      </x:c>
      <x:c r="C262" s="2" t="str">
        <x:v>Nuts, Cocoa ----     </x:v>
      </x:c>
      <x:c r="D262" s="2" t="str">
        <x:v>"</x:v>
      </x:c>
      <x:c r="E262" s="8" t="n">
        <x:v>2669</x:v>
      </x:c>
      <x:c r="F262" s="8" t="n">
        <x:v>534</x:v>
      </x:c>
    </x:row>
    <x:row r="263" ht="23" customHeight="1">
      <x:c r="A263" s="2" t="str">
        <x:v>Imports</x:v>
      </x:c>
      <x:c r="B263" s="2" t="n">
        <x:v>259</x:v>
      </x:c>
      <x:c r="C263" s="2" t="str">
        <x:v>Currants ----     </x:v>
      </x:c>
      <x:c r="D263" s="2" t="str">
        <x:v>"</x:v>
      </x:c>
      <x:c r="E263" s="8" t="n">
        <x:v>34526</x:v>
      </x:c>
      <x:c r="F263" s="8" t="n">
        <x:v>30210</x:v>
      </x:c>
    </x:row>
    <x:row r="264" ht="23" customHeight="1">
      <x:c r="A264" s="2" t="str">
        <x:v>Imports</x:v>
      </x:c>
      <x:c r="B264" s="2" t="n">
        <x:v>260</x:v>
      </x:c>
      <x:c r="C264" s="2" t="str">
        <x:v>Raisins ----     </x:v>
      </x:c>
      <x:c r="D264" s="2" t="str">
        <x:v>"</x:v>
      </x:c>
      <x:c r="E264" s="8" t="n">
        <x:v>18598</x:v>
      </x:c>
      <x:c r="F264" s="8" t="n">
        <x:v>27897</x:v>
      </x:c>
    </x:row>
    <x:row r="265" ht="23" customHeight="1">
      <x:c r="A265" s="2" t="str">
        <x:v>Imports</x:v>
      </x:c>
      <x:c r="B265" s="2" t="n">
        <x:v>261</x:v>
      </x:c>
      <x:c r="C265" s="2" t="str">
        <x:v>Dates ----     </x:v>
      </x:c>
      <x:c r="D265" s="2" t="str">
        <x:v>"</x:v>
      </x:c>
      <x:c r="E265" s="8" t="n">
        <x:v>1577</x:v>
      </x:c>
      <x:c r="F265" s="8" t="n">
        <x:v>986</x:v>
      </x:c>
    </x:row>
    <x:row r="266" ht="23" customHeight="1">
      <x:c r="A266" s="2" t="str">
        <x:v>Imports</x:v>
      </x:c>
      <x:c r="B266" s="2" t="n">
        <x:v>262</x:v>
      </x:c>
      <x:c r="C266" s="2" t="str">
        <x:v>Figs ----     </x:v>
      </x:c>
      <x:c r="D266" s="2" t="str">
        <x:v>"</x:v>
      </x:c>
      <x:c r="E266" s="8" t="n">
        <x:v>1891</x:v>
      </x:c>
      <x:c r="F266" s="8" t="n">
        <x:v>2837</x:v>
      </x:c>
    </x:row>
    <x:row r="267" ht="23" customHeight="1">
      <x:c r="A267" s="2" t="str">
        <x:v>Imports</x:v>
      </x:c>
      <x:c r="B267" s="2" t="n">
        <x:v>263</x:v>
      </x:c>
      <x:c r="C267" s="2" t="str">
        <x:v>Fruit, unclassified ----     </x:v>
      </x:c>
      <x:c r="D267" s="2" t="str">
        <x:v>"</x:v>
      </x:c>
      <x:c r="E267" s="8" t="n">
        <x:v>118890</x:v>
      </x:c>
      <x:c r="F267" s="8" t="n">
        <x:v>93626</x:v>
      </x:c>
    </x:row>
    <x:row r="268" ht="23" customHeight="1">
      <x:c r="A268" s="2" t="str">
        <x:v>Imports</x:v>
      </x:c>
      <x:c r="B268" s="2" t="n">
        <x:v>264</x:v>
      </x:c>
      <x:c r="C268" s="2" t="str">
        <x:v>Fruit, Dried and Preserved ----     </x:v>
      </x:c>
      <x:c r="D268" s="2" t="str">
        <x:v>"</x:v>
      </x:c>
      <x:c r="E268" s="8" t="n">
        <x:v>104809</x:v>
      </x:c>
      <x:c r="F268" s="8" t="n">
        <x:v>115289</x:v>
      </x:c>
    </x:row>
    <x:row r="269" ht="23" customHeight="1">
      <x:c r="A269" s="2" t="str">
        <x:v>Imports</x:v>
      </x:c>
      <x:c r="B269" s="2" t="n">
        <x:v>265</x:v>
      </x:c>
      <x:c r="C269" s="2" t="str">
        <x:v>Jams and Preserves ----     </x:v>
      </x:c>
      <x:c r="D269" s="2" t="str">
        <x:v>"</x:v>
      </x:c>
      <x:c r="E269" s="8" t="n">
        <x:v>63247</x:v>
      </x:c>
      <x:c r="F269" s="8" t="n">
        <x:v>88546</x:v>
      </x:c>
    </x:row>
    <x:row r="270" ht="23" customHeight="1">
      <x:c r="A270" s="2" t="str">
        <x:v>Imports</x:v>
      </x:c>
      <x:c r="B270" s="2" t="n">
        <x:v>266</x:v>
      </x:c>
      <x:c r="C270" s="2" t="str">
        <x:v>Onions ----     </x:v>
      </x:c>
      <x:c r="D270" s="2" t="str">
        <x:v>"</x:v>
      </x:c>
      <x:c r="E270" s="8" t="n">
        <x:v>202852</x:v>
      </x:c>
      <x:c r="F270" s="8" t="n">
        <x:v>45642</x:v>
      </x:c>
    </x:row>
    <x:row r="271" ht="23" customHeight="1">
      <x:c r="A271" s="2" t="str">
        <x:v>Imports</x:v>
      </x:c>
      <x:c r="B271" s="2" t="n">
        <x:v>267</x:v>
      </x:c>
      <x:c r="C271" s="2" t="str">
        <x:v>Potatoes ----     </x:v>
      </x:c>
      <x:c r="D271" s="2" t="str">
        <x:v>tons.</x:v>
      </x:c>
      <x:c r="E271" s="8" t="n">
        <x:v>5213</x:v>
      </x:c>
      <x:c r="F271" s="8" t="n">
        <x:v>18246</x:v>
      </x:c>
    </x:row>
    <x:row r="272" ht="23" customHeight="1">
      <x:c r="A272" s="2" t="str">
        <x:v>Imports</x:v>
      </x:c>
      <x:c r="B272" s="2" t="n">
        <x:v>268</x:v>
      </x:c>
      <x:c r="C272" s="2" t="str">
        <x:v>Vegetables, unclassified ----     </x:v>
      </x:c>
      <x:c r="D272" s="2" t="str">
        <x:v>"</x:v>
      </x:c>
      <x:c r="E272" s="8" t="n">
        <x:v>544</x:v>
      </x:c>
      <x:c r="F272" s="8" t="n">
        <x:v>416</x:v>
      </x:c>
    </x:row>
    <x:row r="273" ht="23" customHeight="1">
      <x:c r="A273" s="2" t="str">
        <x:v>Imports</x:v>
      </x:c>
      <x:c r="B273" s="2" t="n">
        <x:v>269</x:v>
      </x:c>
      <x:c r="C273" s="2" t="str">
        <x:v>Plants, Bulbs, &amp;c.     </x:v>
      </x:c>
      <x:c r="D273" s="2" t="str">
        <x:v>cwts.</x:v>
      </x:c>
      <x:c r="E273" s="8" t="n">
        <x:v>16157</x:v>
      </x:c>
      <x:c r="F273" s="8" t="n">
        <x:v>60589</x:v>
      </x:c>
    </x:row>
    <x:row r="274" ht="23" customHeight="1">
      <x:c r="A274" s="2" t="str">
        <x:v>Imports</x:v>
      </x:c>
      <x:c r="B274" s="2" t="n">
        <x:v>270</x:v>
      </x:c>
      <x:c r="C274" s="2" t="str">
        <x:v>     </x:v>
      </x:c>
      <x:c r="D274" s="2"/>
      <x:c r="E274" s="8"/>
      <x:c r="F274" s="8"/>
    </x:row>
    <x:row r="275" ht="23" customHeight="1">
      <x:c r="A275" s="2" t="str">
        <x:v>Imports</x:v>
      </x:c>
      <x:c r="B275" s="2" t="n">
        <x:v>271</x:v>
      </x:c>
      <x:c r="C275" s="2" t="str">
        <x:v>     </x:v>
      </x:c>
      <x:c r="D275" s="2"/>
      <x:c r="E275" s="8"/>
      <x:c r="F275" s="8"/>
    </x:row>
    <x:row r="276" ht="23" customHeight="1">
      <x:c r="A276" s="2" t="str">
        <x:v>Imports</x:v>
      </x:c>
      <x:c r="B276" s="2" t="n">
        <x:v>272</x:v>
      </x:c>
      <x:c r="C276" s="2" t="str">
        <x:v>     </x:v>
      </x:c>
      <x:c r="D276" s="2"/>
      <x:c r="E276" s="8"/>
      <x:c r="F276" s="8"/>
    </x:row>
    <x:row r="277" ht="23" customHeight="1">
      <x:c r="A277" s="2" t="str">
        <x:v>Imports</x:v>
      </x:c>
      <x:c r="B277" s="2" t="n">
        <x:v>273</x:v>
      </x:c>
      <x:c r="C277" s="2" t="str">
        <x:v>31. GLASS and GLASSWARE, unclassified ---     </x:v>
      </x:c>
      <x:c r="D277" s="2" t="str">
        <x:v>"</x:v>
      </x:c>
      <x:c r="E277" s="8" t="n">
        <x:v>193572</x:v>
      </x:c>
      <x:c r="F277" s="8" t="n">
        <x:v>159697</x:v>
      </x:c>
    </x:row>
    <x:row r="278" ht="23" customHeight="1">
      <x:c r="A278" s="2" t="str">
        <x:v>Imports</x:v>
      </x:c>
      <x:c r="B278" s="2" t="n">
        <x:v>274</x:v>
      </x:c>
      <x:c r="C278" s="2" t="str">
        <x:v>"        "           "             , Cullet ----     </x:v>
      </x:c>
      <x:c r="D278" s="2" t="str">
        <x:v>"</x:v>
      </x:c>
      <x:c r="E278" s="8" t="n">
        <x:v>25458</x:v>
      </x:c>
      <x:c r="F278" s="8" t="n">
        <x:v>796</x:v>
      </x:c>
    </x:row>
    <x:row r="279" ht="23" customHeight="1">
      <x:c r="A279" s="2" t="str">
        <x:v>Imports</x:v>
      </x:c>
      <x:c r="B279" s="2" t="n">
        <x:v>275</x:v>
      </x:c>
      <x:c r="C279" s="2" t="str">
        <x:v>"        "           "             , Bottles ----     </x:v>
      </x:c>
      <x:c r="D279" s="2" t="str">
        <x:v>"</x:v>
      </x:c>
      <x:c r="E279" s="8" t="n">
        <x:v>238819</x:v>
      </x:c>
      <x:c r="F279" s="8" t="n">
        <x:v>83586</x:v>
      </x:c>
    </x:row>
    <x:row r="280" ht="23" customHeight="1">
      <x:c r="A280" s="2" t="str">
        <x:v>Imports</x:v>
      </x:c>
      <x:c r="B280" s="2" t="n">
        <x:v>276</x:v>
      </x:c>
      <x:c r="C280" s="2" t="str">
        <x:v>     </x:v>
      </x:c>
      <x:c r="D280" s="2"/>
      <x:c r="E280" s="8"/>
      <x:c r="F280" s="8"/>
    </x:row>
    <x:row r="281" ht="23" customHeight="1">
      <x:c r="A281" s="2" t="str">
        <x:v>Imports</x:v>
      </x:c>
      <x:c r="B281" s="2" t="n">
        <x:v>277</x:v>
      </x:c>
      <x:c r="C281" s="2" t="str">
        <x:v>     </x:v>
      </x:c>
      <x:c r="D281" s="2"/>
      <x:c r="E281" s="8"/>
      <x:c r="F281" s="8"/>
    </x:row>
    <x:row r="282" ht="23" customHeight="1">
      <x:c r="A282" s="2" t="str">
        <x:v>Imports</x:v>
      </x:c>
      <x:c r="B282" s="2" t="n">
        <x:v>278</x:v>
      </x:c>
      <x:c r="C282" s="2" t="str">
        <x:v>     </x:v>
      </x:c>
      <x:c r="D282" s="2"/>
      <x:c r="E282" s="8"/>
      <x:c r="F282" s="8"/>
    </x:row>
    <x:row r="283" ht="23" customHeight="1">
      <x:c r="A283" s="2" t="str">
        <x:v>Imports</x:v>
      </x:c>
      <x:c r="B283" s="2" t="n">
        <x:v>279</x:v>
      </x:c>
      <x:c r="C283" s="2" t="str">
        <x:v>32. GLUE ----     </x:v>
      </x:c>
      <x:c r="D283" s="2" t="str">
        <x:v>"</x:v>
      </x:c>
      <x:c r="E283" s="8" t="n">
        <x:v>12302</x:v>
      </x:c>
      <x:c r="F283" s="8" t="n">
        <x:v>14762</x:v>
      </x:c>
    </x:row>
    <x:row r="284" ht="23" customHeight="1">
      <x:c r="A284" s="2" t="str">
        <x:v>Imports</x:v>
      </x:c>
      <x:c r="B284" s="2" t="n">
        <x:v>280</x:v>
      </x:c>
      <x:c r="C284" s="2" t="str">
        <x:v>     </x:v>
      </x:c>
      <x:c r="D284" s="2"/>
      <x:c r="E284" s="8"/>
      <x:c r="F284" s="8"/>
    </x:row>
    <x:row r="285" ht="23" customHeight="1">
      <x:c r="A285" s="2" t="str">
        <x:v>Imports</x:v>
      </x:c>
      <x:c r="B285" s="2" t="n">
        <x:v>281</x:v>
      </x:c>
      <x:c r="C285" s="2" t="str">
        <x:v>     </x:v>
      </x:c>
      <x:c r="D285" s="2"/>
      <x:c r="E285" s="8"/>
      <x:c r="F285" s="8"/>
    </x:row>
    <x:row r="286" ht="23" customHeight="1">
      <x:c r="A286" s="2" t="str">
        <x:v>Imports</x:v>
      </x:c>
      <x:c r="B286" s="2" t="n">
        <x:v>282</x:v>
      </x:c>
      <x:c r="C286" s="2" t="str">
        <x:v>     </x:v>
      </x:c>
      <x:c r="D286" s="2"/>
      <x:c r="E286" s="8"/>
      <x:c r="F286" s="8"/>
    </x:row>
    <x:row r="287" ht="23" customHeight="1">
      <x:c r="A287" s="2" t="str">
        <x:v>Imports</x:v>
      </x:c>
      <x:c r="B287" s="2" t="n">
        <x:v>283</x:v>
      </x:c>
      <x:c r="C287" s="2" t="str">
        <x:v>33. GUM ----     </x:v>
      </x:c>
      <x:c r="D287" s="2" t="str">
        <x:v>"</x:v>
      </x:c>
      <x:c r="E287" s="8" t="n">
        <x:v>1442</x:v>
      </x:c>
      <x:c r="F287" s="8" t="n">
        <x:v>4783</x:v>
      </x:c>
    </x:row>
    <x:row r="288" ht="23" customHeight="1">
      <x:c r="A288" s="2" t="str">
        <x:v>Imports</x:v>
      </x:c>
      <x:c r="B288" s="2" t="n">
        <x:v>284</x:v>
      </x:c>
      <x:c r="C288" s="2" t="str">
        <x:v>     </x:v>
      </x:c>
      <x:c r="D288" s="2"/>
      <x:c r="E288" s="8"/>
      <x:c r="F288" s="8"/>
    </x:row>
    <x:row r="289" ht="23" customHeight="1">
      <x:c r="A289" s="2" t="str">
        <x:v>Imports</x:v>
      </x:c>
      <x:c r="B289" s="2" t="n">
        <x:v>285</x:v>
      </x:c>
      <x:c r="C289" s="2" t="str">
        <x:v>     </x:v>
      </x:c>
      <x:c r="D289" s="2"/>
      <x:c r="E289" s="8"/>
      <x:c r="F289" s="8"/>
    </x:row>
    <x:row r="290" ht="23" customHeight="1">
      <x:c r="A290" s="2" t="str">
        <x:v>Imports</x:v>
      </x:c>
      <x:c r="B290" s="2" t="n">
        <x:v>286</x:v>
      </x:c>
      <x:c r="C290" s="2" t="str">
        <x:v>     </x:v>
      </x:c>
      <x:c r="D290" s="2"/>
      <x:c r="E290" s="8"/>
      <x:c r="F290" s="8"/>
    </x:row>
    <x:row r="291" ht="23" customHeight="1">
      <x:c r="A291" s="2" t="str">
        <x:v>Imports</x:v>
      </x:c>
      <x:c r="B291" s="2" t="n">
        <x:v>287</x:v>
      </x:c>
      <x:c r="C291" s="2" t="str">
        <x:v>34. GRAIN,FLOUR and FEEDING STUFFS -     </x:v>
      </x:c>
      <x:c r="D291" s="2"/>
      <x:c r="E291" s="8"/>
      <x:c r="F291" s="8"/>
    </x:row>
    <x:row r="292" ht="23" customHeight="1">
      <x:c r="A292" s="2" t="str">
        <x:v>Imports</x:v>
      </x:c>
      <x:c r="B292" s="2" t="n">
        <x:v>288</x:v>
      </x:c>
      <x:c r="C292" s="2" t="str">
        <x:v>Wheat ----     </x:v>
      </x:c>
      <x:c r="D292" s="2" t="str">
        <x:v>cwts.</x:v>
      </x:c>
      <x:c r="E292" s="8" t="n">
        <x:v>6932744</x:v>
      </x:c>
      <x:c r="F292" s="8" t="n">
        <x:v>2599790</x:v>
      </x:c>
    </x:row>
    <x:row r="293" ht="23" customHeight="1">
      <x:c r="A293" s="2" t="str">
        <x:v>Imports</x:v>
      </x:c>
      <x:c r="B293" s="2" t="n">
        <x:v>289</x:v>
      </x:c>
      <x:c r="C293" s="2" t="str">
        <x:v>Oats ----     </x:v>
      </x:c>
      <x:c r="D293" s="2" t="str">
        <x:v>"</x:v>
      </x:c>
      <x:c r="E293" s="8" t="n">
        <x:v>424736</x:v>
      </x:c>
      <x:c r="F293" s="8" t="n">
        <x:v>116802</x:v>
      </x:c>
    </x:row>
    <x:row r="294" ht="23" customHeight="1">
      <x:c r="A294" s="2" t="str">
        <x:v>Imports</x:v>
      </x:c>
      <x:c r="B294" s="2" t="n">
        <x:v>290</x:v>
      </x:c>
      <x:c r="C294" s="2" t="str">
        <x:v>Barley ----     </x:v>
      </x:c>
      <x:c r="D294" s="2" t="str">
        <x:v>"</x:v>
      </x:c>
      <x:c r="E294" s="8" t="n">
        <x:v>1315942</x:v>
      </x:c>
      <x:c r="F294" s="8" t="n">
        <x:v>394783</x:v>
      </x:c>
    </x:row>
    <x:row r="295" ht="23" customHeight="1">
      <x:c r="A295" s="2" t="str">
        <x:v>Imports</x:v>
      </x:c>
      <x:c r="B295" s="2" t="n">
        <x:v>291</x:v>
      </x:c>
      <x:c r="C295" s="2" t="str">
        <x:v>Malt ----     </x:v>
      </x:c>
      <x:c r="D295" s="2" t="str">
        <x:v>"</x:v>
      </x:c>
      <x:c r="E295" s="8" t="n">
        <x:v>806741</x:v>
      </x:c>
      <x:c r="F295" s="8" t="n">
        <x:v>510396</x:v>
      </x:c>
    </x:row>
    <x:row r="296" ht="23" customHeight="1">
      <x:c r="A296" s="2" t="str">
        <x:v>Imports</x:v>
      </x:c>
      <x:c r="B296" s="2" t="n">
        <x:v>292</x:v>
      </x:c>
      <x:c r="C296" s="2" t="str">
        <x:v>Rye ----     </x:v>
      </x:c>
      <x:c r="D296" s="2" t="str">
        <x:v>"</x:v>
      </x:c>
      <x:c r="E296" s="8" t="n">
        <x:v>404703</x:v>
      </x:c>
      <x:c r="F296" s="8" t="n">
        <x:v>111211</x:v>
      </x:c>
    </x:row>
    <x:row r="297" ht="23" customHeight="1">
      <x:c r="A297" s="2" t="str">
        <x:v>Imports</x:v>
      </x:c>
      <x:c r="B297" s="2" t="n">
        <x:v>293</x:v>
      </x:c>
      <x:c r="C297" s="2" t="str">
        <x:v>Maize ----     </x:v>
      </x:c>
      <x:c r="D297" s="2" t="str">
        <x:v>"</x:v>
      </x:c>
      <x:c r="E297" s="8" t="n">
        <x:v>13249671</x:v>
      </x:c>
      <x:c r="F297" s="8" t="n">
        <x:v>3146797</x:v>
      </x:c>
    </x:row>
    <x:row r="298" ht="23" customHeight="1">
      <x:c r="A298" s="2" t="str">
        <x:v>Imports</x:v>
      </x:c>
      <x:c r="B298" s="2" t="n">
        <x:v>294</x:v>
      </x:c>
      <x:c r="C298" s="2" t="str">
        <x:v>Peas ----     </x:v>
      </x:c>
      <x:c r="D298" s="2" t="str">
        <x:v>"</x:v>
      </x:c>
      <x:c r="E298" s="8" t="n">
        <x:v>26871</x:v>
      </x:c>
      <x:c r="F298" s="8" t="n">
        <x:v>10077</x:v>
      </x:c>
    </x:row>
    <x:row r="299" ht="23" customHeight="1">
      <x:c r="A299" s="2" t="str">
        <x:v>Imports</x:v>
      </x:c>
      <x:c r="B299" s="2" t="n">
        <x:v>295</x:v>
      </x:c>
      <x:c r="C299" s="2" t="str">
        <x:v>Beans ----     </x:v>
      </x:c>
      <x:c r="D299" s="2" t="str">
        <x:v>"</x:v>
      </x:c>
      <x:c r="E299" s="8" t="n">
        <x:v>16932</x:v>
      </x:c>
      <x:c r="F299" s="8" t="n">
        <x:v>7619</x:v>
      </x:c>
    </x:row>
    <x:row r="300" ht="23" customHeight="1">
      <x:c r="A300" s="2" t="str">
        <x:v>Imports</x:v>
      </x:c>
      <x:c r="B300" s="2" t="n">
        <x:v>296</x:v>
      </x:c>
      <x:c r="C300" s="2" t="str">
        <x:v>Tares and Vetches ----     </x:v>
      </x:c>
      <x:c r="D300" s="2" t="str">
        <x:v>"</x:v>
      </x:c>
      <x:c r="E300" s="8" t="n">
        <x:v>6723</x:v>
      </x:c>
      <x:c r="F300" s="8" t="n">
        <x:v>1933</x:v>
      </x:c>
    </x:row>
    <x:row r="301" ht="23" customHeight="1">
      <x:c r="A301" s="2" t="str">
        <x:v>Imports</x:v>
      </x:c>
      <x:c r="B301" s="2" t="n">
        <x:v>297</x:v>
      </x:c>
      <x:c r="C301" s="2" t="str">
        <x:v>Lentils ----     </x:v>
      </x:c>
      <x:c r="D301" s="2" t="str">
        <x:v>"</x:v>
      </x:c>
      <x:c r="E301" s="8" t="n">
        <x:v>1358</x:v>
      </x:c>
      <x:c r="F301" s="8" t="n">
        <x:v>423</x:v>
      </x:c>
    </x:row>
    <x:row r="302" ht="23" customHeight="1">
      <x:c r="A302" s="2" t="str">
        <x:v>Imports</x:v>
      </x:c>
      <x:c r="B302" s="2" t="n">
        <x:v>298</x:v>
      </x:c>
      <x:c r="C302" s="2" t="str">
        <x:v>Hops ----     </x:v>
      </x:c>
      <x:c r="D302" s="2" t="str">
        <x:v>"</x:v>
      </x:c>
      <x:c r="E302" s="8" t="n">
        <x:v>67260</x:v>
      </x:c>
      <x:c r="F302" s="8" t="n">
        <x:v>403560</x:v>
      </x:c>
    </x:row>
    <x:row r="303" ht="23" customHeight="1">
      <x:c r="A303" s="2" t="str">
        <x:v>Imports</x:v>
      </x:c>
      <x:c r="B303" s="2" t="n">
        <x:v>299</x:v>
      </x:c>
      <x:c r="C303" s="2" t="str">
        <x:v>Sago ----     </x:v>
      </x:c>
      <x:c r="D303" s="2" t="str">
        <x:v>"</x:v>
      </x:c>
      <x:c r="E303" s="8" t="n">
        <x:v>29079</x:v>
      </x:c>
      <x:c r="F303" s="8" t="n">
        <x:v>11632</x:v>
      </x:c>
    </x:row>
    <x:row r="304" ht="23" customHeight="1">
      <x:c r="A304" s="2" t="str">
        <x:v>Imports</x:v>
      </x:c>
      <x:c r="B304" s="2" t="n">
        <x:v>300</x:v>
      </x:c>
      <x:c r="C304" s="2" t="str">
        <x:v>Tapioca ----     </x:v>
      </x:c>
      <x:c r="D304" s="2" t="str">
        <x:v>"</x:v>
      </x:c>
      <x:c r="E304" s="8" t="n">
        <x:v>5684</x:v>
      </x:c>
      <x:c r="F304" s="8" t="n">
        <x:v>3410</x:v>
      </x:c>
    </x:row>
    <x:row r="305" ht="23" customHeight="1">
      <x:c r="A305" s="2" t="str">
        <x:v>Imports</x:v>
      </x:c>
      <x:c r="B305" s="2" t="n">
        <x:v>301</x:v>
      </x:c>
      <x:c r="C305" s="2" t="str">
        <x:v>Farina ----     </x:v>
      </x:c>
      <x:c r="D305" s="2" t="str">
        <x:v>"</x:v>
      </x:c>
      <x:c r="E305" s="8" t="n">
        <x:v>30827</x:v>
      </x:c>
      <x:c r="F305" s="8" t="n">
        <x:v>19267</x:v>
      </x:c>
    </x:row>
    <x:row r="306" ht="23" customHeight="1">
      <x:c r="A306" s="2" t="str">
        <x:v>Imports</x:v>
      </x:c>
      <x:c r="B306" s="2" t="n">
        <x:v>302</x:v>
      </x:c>
      <x:c r="C306" s="2" t="str">
        <x:v>Wheat Flour ----     </x:v>
      </x:c>
      <x:c r="D306" s="2" t="str">
        <x:v>"</x:v>
      </x:c>
      <x:c r="E306" s="8" t="n">
        <x:v>5258271</x:v>
      </x:c>
      <x:c r="F306" s="8" t="n">
        <x:v>2764136</x:v>
      </x:c>
    </x:row>
    <x:row r="307" ht="23" customHeight="1">
      <x:c r="A307" s="2" t="str">
        <x:v>Imports</x:v>
      </x:c>
      <x:c r="B307" s="2" t="n">
        <x:v>303</x:v>
      </x:c>
      <x:c r="C307" s="2" t="str">
        <x:v>Oatmeal ----     </x:v>
      </x:c>
      <x:c r="D307" s="2" t="str">
        <x:v>"</x:v>
      </x:c>
      <x:c r="E307" s="8" t="n">
        <x:v>152634</x:v>
      </x:c>
      <x:c r="F307" s="8" t="n">
        <x:v>78225</x:v>
      </x:c>
    </x:row>
    <x:row r="308" ht="23" customHeight="1">
      <x:c r="A308" s="2" t="str">
        <x:v>Imports</x:v>
      </x:c>
      <x:c r="B308" s="2" t="n">
        <x:v>304</x:v>
      </x:c>
      <x:c r="C308" s="2" t="str">
        <x:v>Indian Meal ----     </x:v>
      </x:c>
      <x:c r="D308" s="2" t="str">
        <x:v>"</x:v>
      </x:c>
      <x:c r="E308" s="8" t="n">
        <x:v>21219</x:v>
      </x:c>
      <x:c r="F308" s="8" t="n">
        <x:v>6719</x:v>
      </x:c>
    </x:row>
    <x:row r="309" ht="23" customHeight="1">
      <x:c r="A309" s="2" t="str">
        <x:v>Imports</x:v>
      </x:c>
      <x:c r="B309" s="2" t="n">
        <x:v>305</x:v>
      </x:c>
      <x:c r="C309" s="2" t="str">
        <x:v>Linseed Meal ----     </x:v>
      </x:c>
      <x:c r="D309" s="2" t="str">
        <x:v>"</x:v>
      </x:c>
      <x:c r="E309" s="8" t="n">
        <x:v>29542</x:v>
      </x:c>
      <x:c r="F309" s="8" t="n">
        <x:v>17725</x:v>
      </x:c>
    </x:row>
    <x:row r="310" ht="23" customHeight="1">
      <x:c r="A310" s="2" t="str">
        <x:v>Imports</x:v>
      </x:c>
      <x:c r="B310" s="2" t="n">
        <x:v>306</x:v>
      </x:c>
      <x:c r="C310" s="2" t="str">
        <x:v>Cotton Meal ----     </x:v>
      </x:c>
      <x:c r="D310" s="2" t="str">
        <x:v>"</x:v>
      </x:c>
      <x:c r="E310" s="8" t="n">
        <x:v>36929</x:v>
      </x:c>
      <x:c r="F310" s="8" t="n">
        <x:v>11079</x:v>
      </x:c>
    </x:row>
    <x:row r="311" ht="23" customHeight="1">
      <x:c r="A311" s="2" t="str">
        <x:v>Imports</x:v>
      </x:c>
      <x:c r="B311" s="2" t="n">
        <x:v>307</x:v>
      </x:c>
      <x:c r="C311" s="2" t="str">
        <x:v>Cattle Meal ----     </x:v>
      </x:c>
      <x:c r="D311" s="2" t="str">
        <x:v>"</x:v>
      </x:c>
      <x:c r="E311" s="8" t="n">
        <x:v>151517</x:v>
      </x:c>
      <x:c r="F311" s="8" t="n">
        <x:v>37879</x:v>
      </x:c>
    </x:row>
    <x:row r="312" ht="23" customHeight="1">
      <x:c r="A312" s="2" t="str">
        <x:v>Imports</x:v>
      </x:c>
      <x:c r="B312" s="2" t="n">
        <x:v>308</x:v>
      </x:c>
      <x:c r="C312" s="2" t="str">
        <x:v>Meal, unclassified ----     </x:v>
      </x:c>
      <x:c r="D312" s="2" t="str">
        <x:v>"</x:v>
      </x:c>
      <x:c r="E312" s="8" t="n">
        <x:v>407514</x:v>
      </x:c>
      <x:c r="F312" s="8" t="n">
        <x:v>101788</x:v>
      </x:c>
    </x:row>
    <x:row r="313" ht="23" customHeight="1">
      <x:c r="A313" s="2" t="str">
        <x:v>Imports</x:v>
      </x:c>
      <x:c r="B313" s="2" t="n">
        <x:v>309</x:v>
      </x:c>
      <x:c r="C313" s="2" t="str">
        <x:v>Bran and Pollard ----     </x:v>
      </x:c>
      <x:c r="D313" s="2" t="str">
        <x:v>"</x:v>
      </x:c>
      <x:c r="E313" s="8" t="n">
        <x:v>1504747</x:v>
      </x:c>
      <x:c r="F313" s="8" t="n">
        <x:v>357377</x:v>
      </x:c>
    </x:row>
    <x:row r="314" ht="23" customHeight="1">
      <x:c r="A314" s="2" t="str">
        <x:v>Imports</x:v>
      </x:c>
      <x:c r="B314" s="2" t="n">
        <x:v>310</x:v>
      </x:c>
      <x:c r="C314" s="2" t="str">
        <x:v>Grain Offal ----     </x:v>
      </x:c>
      <x:c r="D314" s="2" t="str">
        <x:v>"</x:v>
      </x:c>
      <x:c r="E314" s="8" t="n">
        <x:v>27086</x:v>
      </x:c>
      <x:c r="F314" s="8" t="n">
        <x:v>4740</x:v>
      </x:c>
    </x:row>
    <x:row r="315" ht="23" customHeight="1">
      <x:c r="A315" s="2" t="str">
        <x:v>Imports</x:v>
      </x:c>
      <x:c r="B315" s="2" t="n">
        <x:v>311</x:v>
      </x:c>
      <x:c r="C315" s="2" t="str">
        <x:v>Grains ----     </x:v>
      </x:c>
      <x:c r="D315" s="2" t="str">
        <x:v>"</x:v>
      </x:c>
      <x:c r="E315" s="8" t="n">
        <x:v>167489</x:v>
      </x:c>
      <x:c r="F315" s="8" t="n">
        <x:v>41872</x:v>
      </x:c>
    </x:row>
    <x:row r="316" ht="23" customHeight="1">
      <x:c r="A316" s="2" t="str">
        <x:v>Imports</x:v>
      </x:c>
      <x:c r="B316" s="2" t="n">
        <x:v>312</x:v>
      </x:c>
      <x:c r="C316" s="2" t="str">
        <x:v>Cattle Food ---     </x:v>
      </x:c>
      <x:c r="D316" s="2" t="str">
        <x:v>tons.</x:v>
      </x:c>
      <x:c r="E316" s="8" t="n">
        <x:v>18156</x:v>
      </x:c>
      <x:c r="F316" s="8" t="n">
        <x:v>81702</x:v>
      </x:c>
    </x:row>
    <x:row r="317" ht="23" customHeight="1">
      <x:c r="A317" s="2" t="str">
        <x:v>Imports</x:v>
      </x:c>
      <x:c r="B317" s="2" t="n">
        <x:v>313</x:v>
      </x:c>
      <x:c r="C317" s="2" t="str">
        <x:v>Linseed Cake ----     </x:v>
      </x:c>
      <x:c r="D317" s="2" t="str">
        <x:v>"</x:v>
      </x:c>
      <x:c r="E317" s="8" t="n">
        <x:v>23643</x:v>
      </x:c>
      <x:c r="F317" s="8" t="n">
        <x:v>149736</x:v>
      </x:c>
    </x:row>
    <x:row r="318" ht="23" customHeight="1">
      <x:c r="A318" s="2" t="str">
        <x:v>Imports</x:v>
      </x:c>
      <x:c r="B318" s="2" t="n">
        <x:v>314</x:v>
      </x:c>
      <x:c r="C318" s="2" t="str">
        <x:v>Cotton Seed Cake     </x:v>
      </x:c>
      <x:c r="D318" s="2" t="str">
        <x:v>"</x:v>
      </x:c>
      <x:c r="E318" s="8" t="n">
        <x:v>14098</x:v>
      </x:c>
      <x:c r="F318" s="8" t="n">
        <x:v>70490</x:v>
      </x:c>
    </x:row>
    <x:row r="319" ht="23" customHeight="1">
      <x:c r="A319" s="2" t="str">
        <x:v>Imports</x:v>
      </x:c>
      <x:c r="B319" s="2" t="n">
        <x:v>315</x:v>
      </x:c>
      <x:c r="C319" s="2" t="str">
        <x:v>Dog Biscuits ----     </x:v>
      </x:c>
      <x:c r="D319" s="2" t="str">
        <x:v>cwts.</x:v>
      </x:c>
      <x:c r="E319" s="8" t="n">
        <x:v>1756</x:v>
      </x:c>
      <x:c r="F319" s="8" t="n">
        <x:v>1317</x:v>
      </x:c>
    </x:row>
    <x:row r="320" ht="23" customHeight="1">
      <x:c r="A320" s="2" t="str">
        <x:v>Imports</x:v>
      </x:c>
      <x:c r="B320" s="2" t="n">
        <x:v>316</x:v>
      </x:c>
      <x:c r="C320" s="2" t="str">
        <x:v>Rice ---     </x:v>
      </x:c>
      <x:c r="D320" s="2" t="str">
        <x:v>cwts.</x:v>
      </x:c>
      <x:c r="E320" s="8" t="n">
        <x:v>71803</x:v>
      </x:c>
      <x:c r="F320" s="8" t="n">
        <x:v>32311</x:v>
      </x:c>
    </x:row>
    <x:row r="321" ht="23" customHeight="1">
      <x:c r="A321" s="2" t="str">
        <x:v>Imports</x:v>
      </x:c>
      <x:c r="B321" s="2" t="n">
        <x:v>317</x:v>
      </x:c>
      <x:c r="C321" s="2" t="str">
        <x:v>     </x:v>
      </x:c>
      <x:c r="D321" s="2"/>
      <x:c r="E321" s="8"/>
      <x:c r="F321" s="8"/>
    </x:row>
    <x:row r="322" ht="23" customHeight="1">
      <x:c r="A322" s="2" t="str">
        <x:v>Imports</x:v>
      </x:c>
      <x:c r="B322" s="2" t="n">
        <x:v>318</x:v>
      </x:c>
      <x:c r="C322" s="2" t="str">
        <x:v>     </x:v>
      </x:c>
      <x:c r="D322" s="2"/>
      <x:c r="E322" s="8"/>
      <x:c r="F322" s="8"/>
    </x:row>
    <x:row r="323" ht="23" customHeight="1">
      <x:c r="A323" s="2" t="str">
        <x:v>Imports</x:v>
      </x:c>
      <x:c r="B323" s="2" t="n">
        <x:v>319</x:v>
      </x:c>
      <x:c r="C323" s="2" t="str">
        <x:v>35. HAY and STRAW ----     </x:v>
      </x:c>
      <x:c r="D323" s="2" t="str">
        <x:v>tons.</x:v>
      </x:c>
      <x:c r="E323" s="8" t="n">
        <x:v>11525</x:v>
      </x:c>
      <x:c r="F323" s="8" t="n">
        <x:v>32271</x:v>
      </x:c>
    </x:row>
    <x:row r="324" ht="23" customHeight="1">
      <x:c r="A324" s="2" t="str">
        <x:v>Imports</x:v>
      </x:c>
      <x:c r="B324" s="2" t="n">
        <x:v>320</x:v>
      </x:c>
      <x:c r="C324" s="2" t="str">
        <x:v>"           "       , Straw Envelopes ----     </x:v>
      </x:c>
      <x:c r="D324" s="2" t="str">
        <x:v>cwts.</x:v>
      </x:c>
      <x:c r="E324" s="8" t="n">
        <x:v>9889</x:v>
      </x:c>
      <x:c r="F324" s="8" t="n">
        <x:v>6428</x:v>
      </x:c>
    </x:row>
    <x:row r="325" ht="23" customHeight="1">
      <x:c r="A325" s="2" t="str">
        <x:v>Imports</x:v>
      </x:c>
      <x:c r="B325" s="2" t="n">
        <x:v>321</x:v>
      </x:c>
      <x:c r="C325" s="2" t="str">
        <x:v>     </x:v>
      </x:c>
      <x:c r="D325" s="2"/>
      <x:c r="E325" s="8"/>
      <x:c r="F325" s="8"/>
    </x:row>
    <x:row r="326" ht="23" customHeight="1">
      <x:c r="A326" s="2" t="str">
        <x:v>Imports</x:v>
      </x:c>
      <x:c r="B326" s="2" t="n">
        <x:v>322</x:v>
      </x:c>
      <x:c r="C326" s="2" t="str">
        <x:v>     </x:v>
      </x:c>
      <x:c r="D326" s="2"/>
      <x:c r="E326" s="8"/>
      <x:c r="F326" s="8"/>
    </x:row>
    <x:row r="327" ht="23" customHeight="1">
      <x:c r="A327" s="2" t="str">
        <x:v>Imports</x:v>
      </x:c>
      <x:c r="B327" s="2" t="n">
        <x:v>323</x:v>
      </x:c>
      <x:c r="C327" s="2" t="str">
        <x:v>     </x:v>
      </x:c>
      <x:c r="D327" s="2"/>
      <x:c r="E327" s="8"/>
      <x:c r="F327" s="8"/>
    </x:row>
    <x:row r="328" ht="23" customHeight="1">
      <x:c r="A328" s="2" t="str">
        <x:v>Imports</x:v>
      </x:c>
      <x:c r="B328" s="2" t="n">
        <x:v>324</x:v>
      </x:c>
      <x:c r="C328" s="2" t="str">
        <x:v>36. HIDES,SKINS,LEATHER and MANUFACTURES THEREOF -     </x:v>
      </x:c>
      <x:c r="D328" s="2"/>
      <x:c r="E328" s="8"/>
      <x:c r="F328" s="8"/>
    </x:row>
    <x:row r="329" ht="23" customHeight="1">
      <x:c r="A329" s="2" t="str">
        <x:v>Imports</x:v>
      </x:c>
      <x:c r="B329" s="2" t="n">
        <x:v>325</x:v>
      </x:c>
      <x:c r="C329" s="2" t="str">
        <x:v>Hides ----     </x:v>
      </x:c>
      <x:c r="D329" s="2" t="str">
        <x:v>"</x:v>
      </x:c>
      <x:c r="E329" s="8" t="n">
        <x:v>7184</x:v>
      </x:c>
      <x:c r="F329" s="8" t="n">
        <x:v>23467</x:v>
      </x:c>
    </x:row>
    <x:row r="330" ht="23" customHeight="1">
      <x:c r="A330" s="2" t="str">
        <x:v>Imports</x:v>
      </x:c>
      <x:c r="B330" s="2" t="n">
        <x:v>326</x:v>
      </x:c>
      <x:c r="C330" s="2" t="str">
        <x:v>Skins ----     </x:v>
      </x:c>
      <x:c r="D330" s="2" t="str">
        <x:v>"</x:v>
      </x:c>
      <x:c r="E330" s="8" t="n">
        <x:v>1793</x:v>
      </x:c>
      <x:c r="F330" s="8" t="n">
        <x:v>6694</x:v>
      </x:c>
    </x:row>
    <x:row r="331" ht="23" customHeight="1">
      <x:c r="A331" s="2" t="str">
        <x:v>Imports</x:v>
      </x:c>
      <x:c r="B331" s="2" t="n">
        <x:v>327</x:v>
      </x:c>
      <x:c r="C331" s="2" t="str">
        <x:v>Leather ----     </x:v>
      </x:c>
      <x:c r="D331" s="2" t="str">
        <x:v>"</x:v>
      </x:c>
      <x:c r="E331" s="8" t="n">
        <x:v>61479</x:v>
      </x:c>
      <x:c r="F331" s="8" t="n">
        <x:v>401663</x:v>
      </x:c>
    </x:row>
    <x:row r="332" ht="23" customHeight="1">
      <x:c r="A332" s="2" t="str">
        <x:v>Imports</x:v>
      </x:c>
      <x:c r="B332" s="2" t="n">
        <x:v>328</x:v>
      </x:c>
      <x:c r="C332" s="2" t="str">
        <x:v>Boots and Shoes ----     </x:v>
      </x:c>
      <x:c r="D332" s="2" t="str">
        <x:v>"</x:v>
      </x:c>
      <x:c r="E332" s="8" t="n">
        <x:v>134799</x:v>
      </x:c>
      <x:c r="F332" s="8" t="n">
        <x:v>1735537</x:v>
      </x:c>
    </x:row>
    <x:row r="333" ht="23" customHeight="1">
      <x:c r="A333" s="2" t="str">
        <x:v>Imports</x:v>
      </x:c>
      <x:c r="B333" s="2" t="n">
        <x:v>329</x:v>
      </x:c>
      <x:c r="C333" s="2" t="str">
        <x:v>Saddlery ----     </x:v>
      </x:c>
      <x:c r="D333" s="2" t="str">
        <x:v>"</x:v>
      </x:c>
      <x:c r="E333" s="8" t="n">
        <x:v>2761</x:v>
      </x:c>
      <x:c r="F333" s="8" t="n">
        <x:v>38676</x:v>
      </x:c>
    </x:row>
    <x:row r="334" ht="23" customHeight="1">
      <x:c r="A334" s="2" t="str">
        <x:v>Imports</x:v>
      </x:c>
      <x:c r="B334" s="2" t="n">
        <x:v>330</x:v>
      </x:c>
      <x:c r="C334" s="2" t="str">
        <x:v>Belts and Belting ----     </x:v>
      </x:c>
      <x:c r="D334" s="2" t="str">
        <x:v>"</x:v>
      </x:c>
      <x:c r="E334" s="8" t="n">
        <x:v>787</x:v>
      </x:c>
      <x:c r="F334" s="8" t="n">
        <x:v>8800</x:v>
      </x:c>
    </x:row>
    <x:row r="335" ht="23" customHeight="1">
      <x:c r="A335" s="2" t="str">
        <x:v>Imports</x:v>
      </x:c>
      <x:c r="B335" s="2" t="n">
        <x:v>331</x:v>
      </x:c>
      <x:c r="C335" s="2" t="str">
        <x:v>Clogs ----     </x:v>
      </x:c>
      <x:c r="D335" s="2" t="str">
        <x:v>"</x:v>
      </x:c>
      <x:c r="E335" s="8" t="n">
        <x:v>495</x:v>
      </x:c>
      <x:c r="F335" s="8" t="n">
        <x:v>2100</x:v>
      </x:c>
    </x:row>
    <x:row r="336" ht="23" customHeight="1">
      <x:c r="A336" s="2" t="str">
        <x:v>Imports</x:v>
      </x:c>
      <x:c r="B336" s="2" t="n">
        <x:v>332</x:v>
      </x:c>
      <x:c r="C336" s="2" t="str">
        <x:v>     </x:v>
      </x:c>
      <x:c r="D336" s="2"/>
      <x:c r="E336" s="8"/>
      <x:c r="F336" s="8"/>
    </x:row>
    <x:row r="337" ht="23" customHeight="1">
      <x:c r="A337" s="2" t="str">
        <x:v>Imports</x:v>
      </x:c>
      <x:c r="B337" s="2" t="n">
        <x:v>333</x:v>
      </x:c>
      <x:c r="C337" s="2" t="str">
        <x:v>     </x:v>
      </x:c>
      <x:c r="D337" s="2"/>
      <x:c r="E337" s="8"/>
      <x:c r="F337" s="8"/>
    </x:row>
    <x:row r="338" ht="23" customHeight="1">
      <x:c r="A338" s="2" t="str">
        <x:v>Imports</x:v>
      </x:c>
      <x:c r="B338" s="2" t="n">
        <x:v>334</x:v>
      </x:c>
      <x:c r="C338" s="2" t="str">
        <x:v>37. HONEY ----     </x:v>
      </x:c>
      <x:c r="D338" s="2" t="str">
        <x:v>"</x:v>
      </x:c>
      <x:c r="E338" s="8" t="n">
        <x:v>224</x:v>
      </x:c>
      <x:c r="F338" s="8" t="n">
        <x:v>392</x:v>
      </x:c>
    </x:row>
    <x:row r="339" ht="23" customHeight="1">
      <x:c r="A339" s="2" t="str">
        <x:v>Imports</x:v>
      </x:c>
      <x:c r="B339" s="2" t="n">
        <x:v>335</x:v>
      </x:c>
      <x:c r="C339" s="2" t="str">
        <x:v>     </x:v>
      </x:c>
      <x:c r="D339" s="2"/>
      <x:c r="E339" s="8"/>
      <x:c r="F339" s="8"/>
    </x:row>
    <x:row r="340" ht="23" customHeight="1">
      <x:c r="A340" s="2" t="str">
        <x:v>Imports</x:v>
      </x:c>
      <x:c r="B340" s="2" t="n">
        <x:v>336</x:v>
      </x:c>
      <x:c r="C340" s="2" t="str">
        <x:v>     </x:v>
      </x:c>
      <x:c r="D340" s="2"/>
      <x:c r="E340" s="8"/>
      <x:c r="F340" s="8"/>
    </x:row>
    <x:row r="341" ht="23" customHeight="1">
      <x:c r="A341" s="2" t="str">
        <x:v>Imports</x:v>
      </x:c>
      <x:c r="B341" s="2" t="n">
        <x:v>337</x:v>
      </x:c>
      <x:c r="C341" s="2" t="str">
        <x:v>     </x:v>
      </x:c>
      <x:c r="D341" s="2"/>
      <x:c r="E341" s="8"/>
      <x:c r="F341" s="8"/>
    </x:row>
    <x:row r="342" ht="23" customHeight="1">
      <x:c r="A342" s="2" t="str">
        <x:v>Imports</x:v>
      </x:c>
      <x:c r="B342" s="2" t="n">
        <x:v>338</x:v>
      </x:c>
      <x:c r="C342" s="2" t="str">
        <x:v>38. HORNS and HOOFS ----     </x:v>
      </x:c>
      <x:c r="D342" s="2" t="str">
        <x:v>"</x:v>
      </x:c>
      <x:c r="E342" s="8" t="n">
        <x:v>58</x:v>
      </x:c>
      <x:c r="F342" s="8" t="n">
        <x:v>99</x:v>
      </x:c>
    </x:row>
    <x:row r="343" ht="23" customHeight="1">
      <x:c r="A343" s="2" t="str">
        <x:v>Imports</x:v>
      </x:c>
      <x:c r="B343" s="2" t="n">
        <x:v>339</x:v>
      </x:c>
      <x:c r="C343" s="2" t="str">
        <x:v>     </x:v>
      </x:c>
      <x:c r="D343" s="2"/>
      <x:c r="E343" s="8"/>
      <x:c r="F343" s="8"/>
    </x:row>
    <x:row r="344" ht="23" customHeight="1">
      <x:c r="A344" s="2" t="str">
        <x:v>Imports</x:v>
      </x:c>
      <x:c r="B344" s="2" t="n">
        <x:v>340</x:v>
      </x:c>
      <x:c r="C344" s="2" t="str">
        <x:v>     </x:v>
      </x:c>
      <x:c r="D344" s="2"/>
      <x:c r="E344" s="8"/>
      <x:c r="F344" s="8"/>
    </x:row>
    <x:row r="345" ht="23" customHeight="1">
      <x:c r="A345" s="2" t="str">
        <x:v>Imports</x:v>
      </x:c>
      <x:c r="B345" s="2" t="n">
        <x:v>341</x:v>
      </x:c>
      <x:c r="C345" s="2" t="str">
        <x:v>     </x:v>
      </x:c>
      <x:c r="D345" s="2"/>
      <x:c r="E345" s="8"/>
      <x:c r="F345" s="8"/>
    </x:row>
    <x:row r="346" ht="23" customHeight="1">
      <x:c r="A346" s="2" t="str">
        <x:v>Imports</x:v>
      </x:c>
      <x:c r="B346" s="2" t="n">
        <x:v>342</x:v>
      </x:c>
      <x:c r="C346" s="2" t="str">
        <x:v>39. ICE ----     </x:v>
      </x:c>
      <x:c r="D346" s="2" t="str">
        <x:v>tons.</x:v>
      </x:c>
      <x:c r="E346" s="8" t="n">
        <x:v>10504</x:v>
      </x:c>
      <x:c r="F346" s="8" t="n">
        <x:v>5252</x:v>
      </x:c>
    </x:row>
    <x:row r="347" ht="23" customHeight="1">
      <x:c r="A347" s="2" t="str">
        <x:v>Imports</x:v>
      </x:c>
      <x:c r="B347" s="2" t="n">
        <x:v>343</x:v>
      </x:c>
      <x:c r="C347" s="2" t="str">
        <x:v>     </x:v>
      </x:c>
      <x:c r="D347" s="2"/>
      <x:c r="E347" s="8"/>
      <x:c r="F347" s="8"/>
    </x:row>
    <x:row r="348" ht="23" customHeight="1">
      <x:c r="A348" s="2" t="str">
        <x:v>Imports</x:v>
      </x:c>
      <x:c r="B348" s="2" t="n">
        <x:v>344</x:v>
      </x:c>
      <x:c r="C348" s="2" t="str">
        <x:v>     </x:v>
      </x:c>
      <x:c r="D348" s="2"/>
      <x:c r="E348" s="8"/>
      <x:c r="F348" s="8"/>
    </x:row>
    <x:row r="349" ht="23" customHeight="1">
      <x:c r="A349" s="2" t="str">
        <x:v>Imports</x:v>
      </x:c>
      <x:c r="B349" s="2" t="n">
        <x:v>345</x:v>
      </x:c>
      <x:c r="C349" s="2" t="str">
        <x:v>     </x:v>
      </x:c>
      <x:c r="D349" s="2"/>
      <x:c r="E349" s="8"/>
      <x:c r="F349" s="8"/>
    </x:row>
    <x:row r="350" ht="23" customHeight="1">
      <x:c r="A350" s="2" t="str">
        <x:v>Imports</x:v>
      </x:c>
      <x:c r="B350" s="2" t="n">
        <x:v>346</x:v>
      </x:c>
      <x:c r="C350" s="2" t="str">
        <x:v>40. INDIA RUBBER GOODS ----     </x:v>
      </x:c>
      <x:c r="D350" s="2" t="str">
        <x:v>cwts.</x:v>
      </x:c>
      <x:c r="E350" s="8" t="n">
        <x:v>10667</x:v>
      </x:c>
      <x:c r="F350" s="8" t="n">
        <x:v>201606</x:v>
      </x:c>
    </x:row>
    <x:row r="351" ht="23" customHeight="1">
      <x:c r="A351" s="2" t="str">
        <x:v>Imports</x:v>
      </x:c>
      <x:c r="B351" s="2" t="n">
        <x:v>347</x:v>
      </x:c>
      <x:c r="C351" s="2" t="str">
        <x:v>"          "           "        , Gutta-Percha ----     </x:v>
      </x:c>
      <x:c r="D351" s="2" t="str">
        <x:v>"</x:v>
      </x:c>
      <x:c r="E351" s="8" t="n">
        <x:v>80</x:v>
      </x:c>
      <x:c r="F351" s="8" t="n">
        <x:v>844</x:v>
      </x:c>
    </x:row>
    <x:row r="352" ht="23" customHeight="1">
      <x:c r="A352" s="2" t="str">
        <x:v>Imports</x:v>
      </x:c>
      <x:c r="B352" s="2" t="n">
        <x:v>348</x:v>
      </x:c>
      <x:c r="C352" s="2" t="str">
        <x:v>     </x:v>
      </x:c>
      <x:c r="D352" s="2"/>
      <x:c r="E352" s="8"/>
      <x:c r="F352" s="8"/>
    </x:row>
    <x:row r="353" ht="23" customHeight="1">
      <x:c r="A353" s="2" t="str">
        <x:v>Imports</x:v>
      </x:c>
      <x:c r="B353" s="2" t="n">
        <x:v>349</x:v>
      </x:c>
      <x:c r="C353" s="2" t="str">
        <x:v>     </x:v>
      </x:c>
      <x:c r="D353" s="2"/>
      <x:c r="E353" s="8"/>
      <x:c r="F353" s="8"/>
    </x:row>
    <x:row r="354" ht="23" customHeight="1">
      <x:c r="A354" s="2" t="str">
        <x:v>Imports</x:v>
      </x:c>
      <x:c r="B354" s="2" t="n">
        <x:v>350</x:v>
      </x:c>
      <x:c r="C354" s="2" t="str">
        <x:v>     </x:v>
      </x:c>
      <x:c r="D354" s="2"/>
      <x:c r="E354" s="8"/>
      <x:c r="F354" s="8"/>
    </x:row>
    <x:row r="355" ht="23" customHeight="1">
      <x:c r="A355" s="2" t="str">
        <x:v>Imports</x:v>
      </x:c>
      <x:c r="B355" s="2" t="n">
        <x:v>351</x:v>
      </x:c>
      <x:c r="C355" s="2" t="str">
        <x:v>41.INK ----     </x:v>
      </x:c>
      <x:c r="D355" s="2" t="str">
        <x:v>"</x:v>
      </x:c>
      <x:c r="E355" s="8" t="n">
        <x:v>7313</x:v>
      </x:c>
      <x:c r="F355" s="8" t="n">
        <x:v>3071</x:v>
      </x:c>
    </x:row>
    <x:row r="356" ht="23" customHeight="1">
      <x:c r="A356" s="2" t="str">
        <x:v>Imports</x:v>
      </x:c>
      <x:c r="B356" s="2" t="n">
        <x:v>352</x:v>
      </x:c>
      <x:c r="C356" s="2" t="str">
        <x:v>     </x:v>
      </x:c>
      <x:c r="D356" s="2"/>
      <x:c r="E356" s="8"/>
      <x:c r="F356" s="8"/>
    </x:row>
    <x:row r="357" ht="23" customHeight="1">
      <x:c r="A357" s="2" t="str">
        <x:v>Imports</x:v>
      </x:c>
      <x:c r="B357" s="2" t="n">
        <x:v>353</x:v>
      </x:c>
      <x:c r="C357" s="2" t="str">
        <x:v>     </x:v>
      </x:c>
      <x:c r="D357" s="2"/>
      <x:c r="E357" s="8"/>
      <x:c r="F357" s="8"/>
    </x:row>
    <x:row r="358" ht="23" customHeight="1">
      <x:c r="A358" s="2" t="str">
        <x:v>Imports</x:v>
      </x:c>
      <x:c r="B358" s="2" t="n">
        <x:v>354</x:v>
      </x:c>
      <x:c r="C358" s="2" t="str">
        <x:v>     </x:v>
      </x:c>
      <x:c r="D358" s="2"/>
      <x:c r="E358" s="8"/>
      <x:c r="F358" s="8"/>
    </x:row>
    <x:row r="359" ht="23" customHeight="1">
      <x:c r="A359" s="2" t="str">
        <x:v>Imports</x:v>
      </x:c>
      <x:c r="B359" s="2" t="n">
        <x:v>355</x:v>
      </x:c>
      <x:c r="C359" s="2" t="str">
        <x:v>42. INSTRUMENTS, MUSICAL -     </x:v>
      </x:c>
      <x:c r="D359" s="2"/>
      <x:c r="E359" s="8"/>
      <x:c r="F359" s="8"/>
    </x:row>
    <x:row r="360" ht="23" customHeight="1">
      <x:c r="A360" s="2" t="str">
        <x:v>Imports</x:v>
      </x:c>
      <x:c r="B360" s="2" t="n">
        <x:v>356</x:v>
      </x:c>
      <x:c r="C360" s="2" t="str">
        <x:v>Organs ----     </x:v>
      </x:c>
      <x:c r="D360" s="2" t="str">
        <x:v>"</x:v>
      </x:c>
      <x:c r="E360" s="8" t="n">
        <x:v>2071</x:v>
      </x:c>
      <x:c r="F360" s="8" t="n">
        <x:v>12426</x:v>
      </x:c>
    </x:row>
    <x:row r="361" ht="23" customHeight="1">
      <x:c r="A361" s="2" t="str">
        <x:v>Imports</x:v>
      </x:c>
      <x:c r="B361" s="2" t="n">
        <x:v>357</x:v>
      </x:c>
      <x:c r="C361" s="2" t="str">
        <x:v>Pianos ----     </x:v>
      </x:c>
      <x:c r="D361" s="2" t="str">
        <x:v>No.</x:v>
      </x:c>
      <x:c r="E361" s="8" t="n">
        <x:v>2501</x:v>
      </x:c>
      <x:c r="F361" s="8" t="n">
        <x:v>87535</x:v>
      </x:c>
    </x:row>
    <x:row r="362" ht="23" customHeight="1">
      <x:c r="A362" s="2" t="str">
        <x:v>Imports</x:v>
      </x:c>
      <x:c r="B362" s="2" t="n">
        <x:v>358</x:v>
      </x:c>
      <x:c r="C362" s="2" t="str">
        <x:v>Musical Instruements, unclassified ----     </x:v>
      </x:c>
      <x:c r="D362" s="2" t="str">
        <x:v>cwts.</x:v>
      </x:c>
      <x:c r="E362" s="8" t="n">
        <x:v>2601</x:v>
      </x:c>
      <x:c r="F362" s="8" t="n">
        <x:v>19508</x:v>
      </x:c>
    </x:row>
    <x:row r="363" ht="23" customHeight="1">
      <x:c r="A363" s="2" t="str">
        <x:v>Imports</x:v>
      </x:c>
      <x:c r="B363" s="2" t="n">
        <x:v>359</x:v>
      </x:c>
      <x:c r="C363" s="2" t="str">
        <x:v>     </x:v>
      </x:c>
      <x:c r="D363" s="2"/>
      <x:c r="E363" s="8"/>
      <x:c r="F363" s="8"/>
    </x:row>
    <x:row r="364" ht="23" customHeight="1">
      <x:c r="A364" s="2" t="str">
        <x:v>Imports</x:v>
      </x:c>
      <x:c r="B364" s="2" t="n">
        <x:v>360</x:v>
      </x:c>
      <x:c r="C364" s="2" t="str">
        <x:v>     </x:v>
      </x:c>
      <x:c r="D364" s="2"/>
      <x:c r="E364" s="8"/>
      <x:c r="F364" s="8"/>
    </x:row>
    <x:row r="365" ht="23" customHeight="1">
      <x:c r="A365" s="2" t="str">
        <x:v>Imports</x:v>
      </x:c>
      <x:c r="B365" s="2" t="n">
        <x:v>361</x:v>
      </x:c>
      <x:c r="C365" s="2" t="str">
        <x:v>     </x:v>
      </x:c>
      <x:c r="D365" s="2"/>
      <x:c r="E365" s="8"/>
      <x:c r="F365" s="8"/>
    </x:row>
    <x:row r="366" ht="23" customHeight="1">
      <x:c r="A366" s="2" t="str">
        <x:v>Imports</x:v>
      </x:c>
      <x:c r="B366" s="2" t="n">
        <x:v>362</x:v>
      </x:c>
      <x:c r="C366" s="2" t="str">
        <x:v>43. INSTRUMENTS, NAUTICAL and SCIENTIFIC ----     </x:v>
      </x:c>
      <x:c r="D366" s="2" t="str">
        <x:v>"</x:v>
      </x:c>
      <x:c r="E366" s="8" t="n">
        <x:v>252</x:v>
      </x:c>
      <x:c r="F366" s="8" t="n">
        <x:v>56448</x:v>
      </x:c>
    </x:row>
    <x:row r="367" ht="23" customHeight="1">
      <x:c r="A367" s="2" t="str">
        <x:v>Imports</x:v>
      </x:c>
      <x:c r="B367" s="2" t="n">
        <x:v>363</x:v>
      </x:c>
      <x:c r="C367" s="2" t="str">
        <x:v>     </x:v>
      </x:c>
      <x:c r="D367" s="2"/>
      <x:c r="E367" s="8"/>
      <x:c r="F367" s="8"/>
    </x:row>
    <x:row r="368" ht="23" customHeight="1">
      <x:c r="A368" s="2" t="str">
        <x:v>Imports</x:v>
      </x:c>
      <x:c r="B368" s="2" t="n">
        <x:v>364</x:v>
      </x:c>
      <x:c r="C368" s="2" t="str">
        <x:v>     </x:v>
      </x:c>
      <x:c r="D368" s="2"/>
      <x:c r="E368" s="8"/>
      <x:c r="F368" s="8"/>
    </x:row>
    <x:row r="369" ht="23" customHeight="1">
      <x:c r="A369" s="2" t="str">
        <x:v>Imports</x:v>
      </x:c>
      <x:c r="B369" s="2" t="n">
        <x:v>365</x:v>
      </x:c>
      <x:c r="C369" s="2" t="str">
        <x:v>     </x:v>
      </x:c>
      <x:c r="D369" s="2"/>
      <x:c r="E369" s="8"/>
      <x:c r="F369" s="8"/>
    </x:row>
    <x:row r="370" ht="23" customHeight="1">
      <x:c r="A370" s="2" t="str">
        <x:v>Imports</x:v>
      </x:c>
      <x:c r="B370" s="2" t="n">
        <x:v>366</x:v>
      </x:c>
      <x:c r="C370" s="2" t="str">
        <x:v>44. IVORY ----     </x:v>
      </x:c>
      <x:c r="D370" s="2" t="str">
        <x:v>"</x:v>
      </x:c>
      <x:c r="E370" s="8" t="n">
        <x:v>87</x:v>
      </x:c>
      <x:c r="F370" s="8" t="n">
        <x:v>3480</x:v>
      </x:c>
    </x:row>
    <x:row r="371" ht="23" customHeight="1">
      <x:c r="A371" s="2" t="str">
        <x:v>Imports</x:v>
      </x:c>
      <x:c r="B371" s="2" t="n">
        <x:v>367</x:v>
      </x:c>
      <x:c r="C371" s="2" t="str">
        <x:v>     </x:v>
      </x:c>
      <x:c r="D371" s="2"/>
      <x:c r="E371" s="8"/>
      <x:c r="F371" s="8"/>
    </x:row>
    <x:row r="372" ht="23" customHeight="1">
      <x:c r="A372" s="2" t="str">
        <x:v>Imports</x:v>
      </x:c>
      <x:c r="B372" s="2" t="n">
        <x:v>368</x:v>
      </x:c>
      <x:c r="C372" s="2" t="str">
        <x:v>     </x:v>
      </x:c>
      <x:c r="D372" s="2"/>
      <x:c r="E372" s="8"/>
      <x:c r="F372" s="8"/>
    </x:row>
    <x:row r="373" ht="23" customHeight="1">
      <x:c r="A373" s="2" t="str">
        <x:v>Imports</x:v>
      </x:c>
      <x:c r="B373" s="2" t="n">
        <x:v>369</x:v>
      </x:c>
      <x:c r="C373" s="2" t="str">
        <x:v>     </x:v>
      </x:c>
      <x:c r="D373" s="2"/>
      <x:c r="E373" s="8"/>
      <x:c r="F373" s="8"/>
    </x:row>
    <x:row r="374" ht="23" customHeight="1">
      <x:c r="A374" s="2" t="str">
        <x:v>Imports</x:v>
      </x:c>
      <x:c r="B374" s="2" t="n">
        <x:v>370</x:v>
      </x:c>
      <x:c r="C374" s="2" t="str">
        <x:v>45. LIME ----     </x:v>
      </x:c>
      <x:c r="D374" s="2" t="str">
        <x:v>"</x:v>
      </x:c>
      <x:c r="E374" s="8" t="n">
        <x:v>17433</x:v>
      </x:c>
      <x:c r="F374" s="8" t="n">
        <x:v>727</x:v>
      </x:c>
    </x:row>
    <x:row r="375" ht="23" customHeight="1">
      <x:c r="A375" s="2" t="str">
        <x:v>Imports</x:v>
      </x:c>
      <x:c r="B375" s="2" t="n">
        <x:v>371</x:v>
      </x:c>
      <x:c r="C375" s="2" t="str">
        <x:v>     </x:v>
      </x:c>
      <x:c r="D375" s="2"/>
      <x:c r="E375" s="8"/>
      <x:c r="F375" s="8"/>
    </x:row>
    <x:row r="376" ht="23" customHeight="1">
      <x:c r="A376" s="2" t="str">
        <x:v>Imports</x:v>
      </x:c>
      <x:c r="B376" s="2" t="n">
        <x:v>372</x:v>
      </x:c>
      <x:c r="C376" s="2" t="str">
        <x:v>     </x:v>
      </x:c>
      <x:c r="D376" s="2"/>
      <x:c r="E376" s="8"/>
      <x:c r="F376" s="8"/>
    </x:row>
    <x:row r="377" ht="23" customHeight="1">
      <x:c r="A377" s="2" t="str">
        <x:v>Imports</x:v>
      </x:c>
      <x:c r="B377" s="2" t="n">
        <x:v>373</x:v>
      </x:c>
      <x:c r="C377" s="2" t="str">
        <x:v>     </x:v>
      </x:c>
      <x:c r="D377" s="2"/>
      <x:c r="E377" s="8"/>
      <x:c r="F377" s="8"/>
    </x:row>
    <x:row r="378" ht="23" customHeight="1">
      <x:c r="A378" s="2" t="str">
        <x:v>Imports</x:v>
      </x:c>
      <x:c r="B378" s="2" t="n">
        <x:v>374</x:v>
      </x:c>
      <x:c r="C378" s="2" t="str">
        <x:v>46.MACHINERY -     </x:v>
      </x:c>
      <x:c r="D378" s="2"/>
      <x:c r="E378" s="8"/>
      <x:c r="F378" s="8"/>
    </x:row>
    <x:row r="379" ht="23" customHeight="1">
      <x:c r="A379" s="2" t="str">
        <x:v>Imports</x:v>
      </x:c>
      <x:c r="B379" s="2" t="n">
        <x:v>375</x:v>
      </x:c>
      <x:c r="C379" s="2" t="str">
        <x:v>"            , Agricultural ----     </x:v>
      </x:c>
      <x:c r="D379" s="2" t="str">
        <x:v>tons</x:v>
      </x:c>
      <x:c r="E379" s="8" t="n">
        <x:v>666</x:v>
      </x:c>
      <x:c r="F379" s="8" t="n">
        <x:v>26640</x:v>
      </x:c>
    </x:row>
    <x:row r="380" ht="23" customHeight="1">
      <x:c r="A380" s="2" t="str">
        <x:v>Imports</x:v>
      </x:c>
      <x:c r="B380" s="2" t="n">
        <x:v>376</x:v>
      </x:c>
      <x:c r="C380" s="2" t="str">
        <x:v>"            , Textile ----     </x:v>
      </x:c>
      <x:c r="D380" s="2" t="str">
        <x:v>"</x:v>
      </x:c>
      <x:c r="E380" s="8" t="n">
        <x:v>614</x:v>
      </x:c>
      <x:c r="F380" s="8" t="n">
        <x:v>49120</x:v>
      </x:c>
    </x:row>
    <x:row r="381" ht="23" customHeight="1">
      <x:c r="A381" s="2" t="str">
        <x:v>Imports</x:v>
      </x:c>
      <x:c r="B381" s="2" t="n">
        <x:v>377</x:v>
      </x:c>
      <x:c r="C381" s="2" t="str">
        <x:v>"            , Unclassified ----     </x:v>
      </x:c>
      <x:c r="D381" s="2" t="str">
        <x:v>"</x:v>
      </x:c>
      <x:c r="E381" s="8" t="n">
        <x:v>19788</x:v>
      </x:c>
      <x:c r="F381" s="8" t="n">
        <x:v>989400</x:v>
      </x:c>
    </x:row>
    <x:row r="382" ht="23" customHeight="1">
      <x:c r="A382" s="2" t="str">
        <x:v>Imports</x:v>
      </x:c>
      <x:c r="B382" s="2" t="n">
        <x:v>378</x:v>
      </x:c>
      <x:c r="C382" s="2" t="str">
        <x:v>     </x:v>
      </x:c>
      <x:c r="D382" s="2"/>
      <x:c r="E382" s="8"/>
      <x:c r="F382" s="8"/>
    </x:row>
    <x:row r="383" ht="23" customHeight="1">
      <x:c r="A383" s="2" t="str">
        <x:v>Imports</x:v>
      </x:c>
      <x:c r="B383" s="2" t="n">
        <x:v>379</x:v>
      </x:c>
      <x:c r="C383" s="2" t="str">
        <x:v>     </x:v>
      </x:c>
      <x:c r="D383" s="2"/>
      <x:c r="E383" s="8"/>
      <x:c r="F383" s="8"/>
    </x:row>
    <x:row r="384" ht="23" customHeight="1">
      <x:c r="A384" s="2" t="str">
        <x:v>Imports</x:v>
      </x:c>
      <x:c r="B384" s="2" t="n">
        <x:v>380</x:v>
      </x:c>
      <x:c r="C384" s="2" t="str">
        <x:v>     </x:v>
      </x:c>
      <x:c r="D384" s="2"/>
      <x:c r="E384" s="8"/>
      <x:c r="F384" s="8"/>
    </x:row>
    <x:row r="385" ht="23" customHeight="1">
      <x:c r="A385" s="2" t="str">
        <x:v>Imports</x:v>
      </x:c>
      <x:c r="B385" s="2" t="n">
        <x:v>381</x:v>
      </x:c>
      <x:c r="C385" s="2" t="str">
        <x:v>47. MATCHES ----     </x:v>
      </x:c>
      <x:c r="D385" s="2" t="str">
        <x:v>cwts.</x:v>
      </x:c>
      <x:c r="E385" s="8" t="n">
        <x:v>36734</x:v>
      </x:c>
      <x:c r="F385" s="8" t="n">
        <x:v>82651</x:v>
      </x:c>
    </x:row>
    <x:row r="386" ht="23" customHeight="1">
      <x:c r="A386" s="2" t="str">
        <x:v>Imports</x:v>
      </x:c>
      <x:c r="B386" s="2" t="n">
        <x:v>382</x:v>
      </x:c>
      <x:c r="C386" s="2" t="str">
        <x:v>     </x:v>
      </x:c>
      <x:c r="D386" s="2"/>
      <x:c r="E386" s="8"/>
      <x:c r="F386" s="8"/>
    </x:row>
    <x:row r="387" ht="23" customHeight="1">
      <x:c r="A387" s="2" t="str">
        <x:v>Imports</x:v>
      </x:c>
      <x:c r="B387" s="2" t="n">
        <x:v>383</x:v>
      </x:c>
      <x:c r="C387" s="2" t="str">
        <x:v>     </x:v>
      </x:c>
      <x:c r="D387" s="2"/>
      <x:c r="E387" s="8"/>
      <x:c r="F387" s="8"/>
    </x:row>
    <x:row r="388" ht="23" customHeight="1">
      <x:c r="A388" s="2" t="str">
        <x:v>Imports</x:v>
      </x:c>
      <x:c r="B388" s="2" t="n">
        <x:v>384</x:v>
      </x:c>
      <x:c r="C388" s="2" t="str">
        <x:v>     </x:v>
      </x:c>
      <x:c r="D388" s="2"/>
      <x:c r="E388" s="8"/>
      <x:c r="F388" s="8"/>
    </x:row>
    <x:row r="389" ht="23" customHeight="1">
      <x:c r="A389" s="2" t="str">
        <x:v>Imports</x:v>
      </x:c>
      <x:c r="B389" s="2" t="n">
        <x:v>385</x:v>
      </x:c>
      <x:c r="C389" s="2" t="str">
        <x:v>48. MEAT, POULTRY and GAME -     </x:v>
      </x:c>
      <x:c r="D389" s="2"/>
      <x:c r="E389" s="8"/>
      <x:c r="F389" s="8"/>
    </x:row>
    <x:row r="390" ht="23" customHeight="1">
      <x:c r="A390" s="2" t="str">
        <x:v>Imports</x:v>
      </x:c>
      <x:c r="B390" s="2" t="n">
        <x:v>386</x:v>
      </x:c>
      <x:c r="C390" s="2" t="str">
        <x:v>Beef ----     </x:v>
      </x:c>
      <x:c r="D390" s="2" t="str">
        <x:v>"</x:v>
      </x:c>
      <x:c r="E390" s="8" t="n">
        <x:v>94276</x:v>
      </x:c>
      <x:c r="F390" s="8" t="n">
        <x:v>146485</x:v>
      </x:c>
    </x:row>
    <x:row r="391" ht="23" customHeight="1">
      <x:c r="A391" s="2" t="str">
        <x:v>Imports</x:v>
      </x:c>
      <x:c r="B391" s="2" t="n">
        <x:v>387</x:v>
      </x:c>
      <x:c r="C391" s="2" t="str">
        <x:v>Mutton ----     </x:v>
      </x:c>
      <x:c r="D391" s="2" t="str">
        <x:v>"</x:v>
      </x:c>
      <x:c r="E391" s="8" t="n">
        <x:v>10914</x:v>
      </x:c>
      <x:c r="F391" s="8" t="n">
        <x:v>21828</x:v>
      </x:c>
    </x:row>
    <x:row r="392" ht="23" customHeight="1">
      <x:c r="A392" s="2" t="str">
        <x:v>Imports</x:v>
      </x:c>
      <x:c r="B392" s="2" t="n">
        <x:v>388</x:v>
      </x:c>
      <x:c r="C392" s="2" t="str">
        <x:v>Pork ----     </x:v>
      </x:c>
      <x:c r="D392" s="2" t="str">
        <x:v>"</x:v>
      </x:c>
      <x:c r="E392" s="8" t="n">
        <x:v>8457</x:v>
      </x:c>
      <x:c r="F392" s="8" t="n">
        <x:v>8013</x:v>
      </x:c>
    </x:row>
    <x:row r="393" ht="23" customHeight="1">
      <x:c r="A393" s="2" t="str">
        <x:v>Imports</x:v>
      </x:c>
      <x:c r="B393" s="2" t="n">
        <x:v>389</x:v>
      </x:c>
      <x:c r="C393" s="2" t="str">
        <x:v>Bacon ----     </x:v>
      </x:c>
      <x:c r="D393" s="2" t="str">
        <x:v>"</x:v>
      </x:c>
      <x:c r="E393" s="8" t="n">
        <x:v>656518</x:v>
      </x:c>
      <x:c r="F393" s="8" t="n">
        <x:v>1542817</x:v>
      </x:c>
    </x:row>
    <x:row r="394" ht="23" customHeight="1">
      <x:c r="A394" s="2" t="str">
        <x:v>Imports</x:v>
      </x:c>
      <x:c r="B394" s="2" t="n">
        <x:v>390</x:v>
      </x:c>
      <x:c r="C394" s="2" t="str">
        <x:v>Hams ----     </x:v>
      </x:c>
      <x:c r="D394" s="2" t="str">
        <x:v>"</x:v>
      </x:c>
      <x:c r="E394" s="8" t="n">
        <x:v>25575</x:v>
      </x:c>
      <x:c r="F394" s="8" t="n">
        <x:v>63938</x:v>
      </x:c>
    </x:row>
    <x:row r="395" ht="23" customHeight="1">
      <x:c r="A395" s="2" t="str">
        <x:v>Imports</x:v>
      </x:c>
      <x:c r="B395" s="2" t="n">
        <x:v>391</x:v>
      </x:c>
      <x:c r="C395" s="2" t="str">
        <x:v>Pig's Heads ----     </x:v>
      </x:c>
      <x:c r="D395" s="2" t="str">
        <x:v>"</x:v>
      </x:c>
      <x:c r="E395" s="8" t="n">
        <x:v>107129</x:v>
      </x:c>
      <x:c r="F395" s="8" t="n">
        <x:v>53565</x:v>
      </x:c>
    </x:row>
    <x:row r="396" ht="23" customHeight="1">
      <x:c r="A396" s="2" t="str">
        <x:v>Imports</x:v>
      </x:c>
      <x:c r="B396" s="2" t="n">
        <x:v>392</x:v>
      </x:c>
      <x:c r="C396" s="2" t="str">
        <x:v>Meat, Preserved and Canned ----     </x:v>
      </x:c>
      <x:c r="D396" s="2" t="str">
        <x:v>"</x:v>
      </x:c>
      <x:c r="E396" s="8" t="n">
        <x:v>35302</x:v>
      </x:c>
      <x:c r="F396" s="8" t="n">
        <x:v>88255</x:v>
      </x:c>
    </x:row>
    <x:row r="397" ht="23" customHeight="1">
      <x:c r="A397" s="2" t="str">
        <x:v>Imports</x:v>
      </x:c>
      <x:c r="B397" s="2" t="n">
        <x:v>393</x:v>
      </x:c>
      <x:c r="C397" s="2" t="str">
        <x:v>Meat, Coarse ----     </x:v>
      </x:c>
      <x:c r="D397" s="2" t="str">
        <x:v>"</x:v>
      </x:c>
      <x:c r="E397" s="8" t="n">
        <x:v>31937</x:v>
      </x:c>
      <x:c r="F397" s="8" t="n">
        <x:v>7984</x:v>
      </x:c>
    </x:row>
    <x:row r="398" ht="23" customHeight="1">
      <x:c r="A398" s="2" t="str">
        <x:v>Imports</x:v>
      </x:c>
      <x:c r="B398" s="2" t="n">
        <x:v>394</x:v>
      </x:c>
      <x:c r="C398" s="2" t="str">
        <x:v>Poultry ----     </x:v>
      </x:c>
      <x:c r="D398" s="2" t="str">
        <x:v>"</x:v>
      </x:c>
      <x:c r="E398" s="8" t="n">
        <x:v>2558</x:v>
      </x:c>
      <x:c r="F398" s="8" t="n">
        <x:v>7162</x:v>
      </x:c>
    </x:row>
    <x:row r="399" ht="23" customHeight="1">
      <x:c r="A399" s="2" t="str">
        <x:v>Imports</x:v>
      </x:c>
      <x:c r="B399" s="2" t="n">
        <x:v>395</x:v>
      </x:c>
      <x:c r="C399" s="2" t="str">
        <x:v>Rabbits ----     </x:v>
      </x:c>
      <x:c r="D399" s="2" t="str">
        <x:v>"</x:v>
      </x:c>
      <x:c r="E399" s="8" t="n">
        <x:v>294</x:v>
      </x:c>
      <x:c r="F399" s="8" t="n">
        <x:v>294</x:v>
      </x:c>
    </x:row>
    <x:row r="400" ht="23" customHeight="1">
      <x:c r="A400" s="2" t="str">
        <x:v>Imports</x:v>
      </x:c>
      <x:c r="B400" s="2" t="n">
        <x:v>396</x:v>
      </x:c>
      <x:c r="C400" s="2" t="str">
        <x:v>Game ----     </x:v>
      </x:c>
      <x:c r="D400" s="2" t="str">
        <x:v>"</x:v>
      </x:c>
      <x:c r="E400" s="8" t="n">
        <x:v>76</x:v>
      </x:c>
      <x:c r="F400" s="8" t="n">
        <x:v>266</x:v>
      </x:c>
    </x:row>
    <x:row r="401" ht="23" customHeight="1">
      <x:c r="A401" s="2" t="str">
        <x:v>Imports</x:v>
      </x:c>
      <x:c r="B401" s="2" t="n">
        <x:v>397</x:v>
      </x:c>
      <x:c r="C401" s="2" t="str">
        <x:v>Provisions and Groceries ----     </x:v>
      </x:c>
      <x:c r="D401" s="2" t="str">
        <x:v>"</x:v>
      </x:c>
      <x:c r="E401" s="8" t="n">
        <x:v>74458</x:v>
      </x:c>
      <x:c r="F401" s="8" t="n">
        <x:v>154500</x:v>
      </x:c>
    </x:row>
    <x:row r="402" ht="23" customHeight="1">
      <x:c r="A402" s="2" t="str">
        <x:v>Imports</x:v>
      </x:c>
      <x:c r="B402" s="2" t="n">
        <x:v>398</x:v>
      </x:c>
      <x:c r="C402" s="2" t="str">
        <x:v>     </x:v>
      </x:c>
      <x:c r="D402" s="2"/>
      <x:c r="E402" s="8"/>
      <x:c r="F402" s="8"/>
    </x:row>
    <x:row r="403" ht="23" customHeight="1">
      <x:c r="A403" s="2" t="str">
        <x:v>Imports</x:v>
      </x:c>
      <x:c r="B403" s="2" t="n">
        <x:v>399</x:v>
      </x:c>
      <x:c r="C403" s="2" t="str">
        <x:v>     </x:v>
      </x:c>
      <x:c r="D403" s="2"/>
      <x:c r="E403" s="8"/>
      <x:c r="F403" s="8"/>
    </x:row>
    <x:row r="404" ht="23" customHeight="1">
      <x:c r="A404" s="2" t="str">
        <x:v>Imports</x:v>
      </x:c>
      <x:c r="B404" s="2" t="n">
        <x:v>400</x:v>
      </x:c>
      <x:c r="C404" s="2" t="str">
        <x:v>     </x:v>
      </x:c>
      <x:c r="D404" s="2"/>
      <x:c r="E404" s="8"/>
      <x:c r="F404" s="8"/>
    </x:row>
    <x:row r="405" ht="23" customHeight="1">
      <x:c r="A405" s="2" t="str">
        <x:v>Imports</x:v>
      </x:c>
      <x:c r="B405" s="2" t="n">
        <x:v>401</x:v>
      </x:c>
      <x:c r="C405" s="2" t="str">
        <x:v>49. METALS AND MANUFACTURES THEREOF -     </x:v>
      </x:c>
      <x:c r="D405" s="2"/>
      <x:c r="E405" s="8"/>
      <x:c r="F405" s="8"/>
    </x:row>
    <x:row r="406" ht="23" customHeight="1">
      <x:c r="A406" s="2" t="str">
        <x:v>Imports</x:v>
      </x:c>
      <x:c r="B406" s="2" t="n">
        <x:v>402</x:v>
      </x:c>
      <x:c r="C406" s="2" t="str">
        <x:v>Metals     - Antimony -----     </x:v>
      </x:c>
      <x:c r="D406" s="2" t="str">
        <x:v>tons.</x:v>
      </x:c>
      <x:c r="E406" s="8" t="n">
        <x:v>10</x:v>
      </x:c>
      <x:c r="F406" s="8" t="n">
        <x:v>600</x:v>
      </x:c>
    </x:row>
    <x:row r="407" ht="23" customHeight="1">
      <x:c r="A407" s="2" t="str">
        <x:v>Imports</x:v>
      </x:c>
      <x:c r="B407" s="2" t="n">
        <x:v>403</x:v>
      </x:c>
      <x:c r="C407" s="2" t="str">
        <x:v>"           - Brass and Bronze ----     </x:v>
      </x:c>
      <x:c r="D407" s="2" t="str">
        <x:v>"</x:v>
      </x:c>
      <x:c r="E407" s="8" t="n">
        <x:v>498</x:v>
      </x:c>
      <x:c r="F407" s="8" t="n">
        <x:v>32370</x:v>
      </x:c>
    </x:row>
    <x:row r="408" ht="23" customHeight="1">
      <x:c r="A408" s="2" t="str">
        <x:v>Imports</x:v>
      </x:c>
      <x:c r="B408" s="2" t="n">
        <x:v>404</x:v>
      </x:c>
      <x:c r="C408" s="2" t="str">
        <x:v>"           - Copper ----     </x:v>
      </x:c>
      <x:c r="D408" s="2" t="str">
        <x:v>"</x:v>
      </x:c>
      <x:c r="E408" s="8" t="n">
        <x:v>1676</x:v>
      </x:c>
      <x:c r="F408" s="8" t="n">
        <x:v>113968</x:v>
      </x:c>
    </x:row>
    <x:row r="409" ht="23" customHeight="1">
      <x:c r="A409" s="2" t="str">
        <x:v>Imports</x:v>
      </x:c>
      <x:c r="B409" s="2" t="n">
        <x:v>405</x:v>
      </x:c>
      <x:c r="C409" s="2" t="str">
        <x:v>"           - Lead and Lead Piping ----     </x:v>
      </x:c>
      <x:c r="D409" s="2" t="str">
        <x:v>"</x:v>
      </x:c>
      <x:c r="E409" s="8" t="n">
        <x:v>5548</x:v>
      </x:c>
      <x:c r="F409" s="8" t="n">
        <x:v>73511</x:v>
      </x:c>
    </x:row>
    <x:row r="410" ht="23" customHeight="1">
      <x:c r="A410" s="2" t="str">
        <x:v>Imports</x:v>
      </x:c>
      <x:c r="B410" s="2" t="n">
        <x:v>406</x:v>
      </x:c>
      <x:c r="C410" s="2" t="str">
        <x:v>"           - Pig Iron ----     </x:v>
      </x:c>
      <x:c r="D410" s="2" t="str">
        <x:v>"</x:v>
      </x:c>
      <x:c r="E410" s="8" t="n">
        <x:v>13052</x:v>
      </x:c>
      <x:c r="F410" s="8" t="n">
        <x:v>28062</x:v>
      </x:c>
    </x:row>
    <x:row r="411" ht="23" customHeight="1">
      <x:c r="A411" s="2" t="str">
        <x:v>Imports</x:v>
      </x:c>
      <x:c r="B411" s="2" t="n">
        <x:v>407</x:v>
      </x:c>
      <x:c r="C411" s="2" t="str">
        <x:v>"           - Scrap Iron ----     </x:v>
      </x:c>
      <x:c r="D411" s="2" t="str">
        <x:v>"</x:v>
      </x:c>
      <x:c r="E411" s="8" t="n">
        <x:v>3012</x:v>
      </x:c>
      <x:c r="F411" s="8" t="n">
        <x:v>5251</x:v>
      </x:c>
    </x:row>
    <x:row r="412" ht="23" customHeight="1">
      <x:c r="A412" s="2" t="str">
        <x:v>Imports</x:v>
      </x:c>
      <x:c r="B412" s="2" t="n">
        <x:v>408</x:v>
      </x:c>
      <x:c r="C412" s="2" t="str">
        <x:v>"           - Steel ----     </x:v>
      </x:c>
      <x:c r="D412" s="2" t="str">
        <x:v>"</x:v>
      </x:c>
      <x:c r="E412" s="8" t="n">
        <x:v>55502</x:v>
      </x:c>
      <x:c r="F412" s="8" t="n">
        <x:v>860281</x:v>
      </x:c>
    </x:row>
    <x:row r="413" ht="23" customHeight="1">
      <x:c r="A413" s="2" t="str">
        <x:v>Imports</x:v>
      </x:c>
      <x:c r="B413" s="2" t="n">
        <x:v>409</x:v>
      </x:c>
      <x:c r="C413" s="2" t="str">
        <x:v>"           - Tin ----     </x:v>
      </x:c>
      <x:c r="D413" s="2" t="str">
        <x:v>"</x:v>
      </x:c>
      <x:c r="E413" s="8" t="n">
        <x:v>3584</x:v>
      </x:c>
      <x:c r="F413" s="8" t="n">
        <x:v>71680</x:v>
      </x:c>
    </x:row>
    <x:row r="414" ht="23" customHeight="1">
      <x:c r="A414" s="2" t="str">
        <x:v>Imports</x:v>
      </x:c>
      <x:c r="B414" s="2" t="n">
        <x:v>410</x:v>
      </x:c>
      <x:c r="C414" s="2" t="str">
        <x:v>"           - Zinc ----     </x:v>
      </x:c>
      <x:c r="D414" s="2" t="str">
        <x:v>"</x:v>
      </x:c>
      <x:c r="E414" s="8" t="n">
        <x:v>364</x:v>
      </x:c>
      <x:c r="F414" s="8" t="n">
        <x:v>9464</x:v>
      </x:c>
    </x:row>
    <x:row r="415" ht="23" customHeight="1">
      <x:c r="A415" s="2" t="str">
        <x:v>Imports</x:v>
      </x:c>
      <x:c r="B415" s="2" t="n">
        <x:v>411</x:v>
      </x:c>
      <x:c r="C415" s="2" t="str">
        <x:v>"           - Solder ----     </x:v>
      </x:c>
      <x:c r="D415" s="2" t="str">
        <x:v>"</x:v>
      </x:c>
      <x:c r="E415" s="8" t="n">
        <x:v>12</x:v>
      </x:c>
      <x:c r="F415" s="8" t="n">
        <x:v>720</x:v>
      </x:c>
    </x:row>
    <x:row r="416" ht="23" customHeight="1">
      <x:c r="A416" s="2" t="str">
        <x:v>Imports</x:v>
      </x:c>
      <x:c r="B416" s="2" t="n">
        <x:v>412</x:v>
      </x:c>
      <x:c r="C416" s="2" t="str">
        <x:v>"           - Yellow Metal ----     </x:v>
      </x:c>
      <x:c r="D416" s="2" t="str">
        <x:v>"</x:v>
      </x:c>
      <x:c r="E416" s="8" t="n">
        <x:v>55</x:v>
      </x:c>
      <x:c r="F416" s="8" t="n">
        <x:v>2750</x:v>
      </x:c>
    </x:row>
    <x:row r="417" ht="23" customHeight="1">
      <x:c r="A417" s="2" t="str">
        <x:v>Imports</x:v>
      </x:c>
      <x:c r="B417" s="2" t="n">
        <x:v>413</x:v>
      </x:c>
      <x:c r="C417" s="2" t="str">
        <x:v>"           - Manganese ----     </x:v>
      </x:c>
      <x:c r="D417" s="2" t="str">
        <x:v>"</x:v>
      </x:c>
      <x:c r="E417" s="8" t="n">
        <x:v>448</x:v>
      </x:c>
      <x:c r="F417" s="8" t="n">
        <x:v>1792</x:v>
      </x:c>
    </x:row>
    <x:row r="418" ht="23" customHeight="1">
      <x:c r="A418" s="2" t="str">
        <x:v>Imports</x:v>
      </x:c>
      <x:c r="B418" s="2" t="n">
        <x:v>414</x:v>
      </x:c>
      <x:c r="C418" s="2" t="str">
        <x:v>"           - Silver  ----   </x:v>
      </x:c>
      <x:c r="D418" s="2" t="str">
        <x:v>troy ozs.</x:v>
      </x:c>
      <x:c r="E418" s="8" t="n">
        <x:v>63700</x:v>
      </x:c>
      <x:c r="F418" s="8" t="n">
        <x:v>8759</x:v>
      </x:c>
    </x:row>
    <x:row r="419" ht="23" customHeight="1">
      <x:c r="A419" s="2" t="str">
        <x:v>Imports</x:v>
      </x:c>
      <x:c r="B419" s="2" t="n">
        <x:v>415</x:v>
      </x:c>
      <x:c r="C419" s="2" t="str">
        <x:v>"           - Quicksilver ----     </x:v>
      </x:c>
      <x:c r="D419" s="2" t="str">
        <x:v>lbs.</x:v>
      </x:c>
      <x:c r="E419" s="8" t="n">
        <x:v>1344</x:v>
      </x:c>
      <x:c r="F419" s="8" t="n">
        <x:v>75</x:v>
      </x:c>
    </x:row>
    <x:row r="420" ht="23" customHeight="1">
      <x:c r="A420" s="2" t="str">
        <x:v>Imports</x:v>
      </x:c>
      <x:c r="B420" s="2" t="n">
        <x:v>416</x:v>
      </x:c>
      <x:c r="C420" s="2" t="str">
        <x:v>"           - Plate ----     </x:v>
      </x:c>
      <x:c r="D420" s="2" t="str">
        <x:v>troy ozs.</x:v>
      </x:c>
      <x:c r="E420" s="8" t="n">
        <x:v>107800</x:v>
      </x:c>
      <x:c r="F420" s="8" t="n">
        <x:v>34137</x:v>
      </x:c>
    </x:row>
    <x:row r="421" ht="23" customHeight="1">
      <x:c r="A421" s="2" t="str">
        <x:v>Imports</x:v>
      </x:c>
      <x:c r="B421" s="2" t="n">
        <x:v>417</x:v>
      </x:c>
      <x:c r="C421" s="2" t="str">
        <x:v>"           - Metal Ashes ----     </x:v>
      </x:c>
      <x:c r="D421" s="2" t="str">
        <x:v>tons.</x:v>
      </x:c>
      <x:c r="E421" s="8" t="n">
        <x:v>250</x:v>
      </x:c>
      <x:c r="F421" s="8" t="n">
        <x:v>2125</x:v>
      </x:c>
    </x:row>
    <x:row r="422" ht="23" customHeight="1">
      <x:c r="A422" s="2" t="str">
        <x:v>Imports</x:v>
      </x:c>
      <x:c r="B422" s="2" t="n">
        <x:v>418</x:v>
      </x:c>
      <x:c r="C422" s="2" t="str">
        <x:v>     </x:v>
      </x:c>
      <x:c r="D422" s="2"/>
      <x:c r="E422" s="8"/>
      <x:c r="F422" s="8"/>
    </x:row>
    <x:row r="423" ht="23" customHeight="1">
      <x:c r="A423" s="2" t="str">
        <x:v>Imports</x:v>
      </x:c>
      <x:c r="B423" s="2" t="n">
        <x:v>419</x:v>
      </x:c>
      <x:c r="C423" s="2" t="str">
        <x:v>Metal Manufactures -      Bar and Wrought Iron ----     </x:v>
      </x:c>
      <x:c r="D423" s="2" t="str">
        <x:v>"</x:v>
      </x:c>
      <x:c r="E423" s="8" t="n">
        <x:v>62659</x:v>
      </x:c>
      <x:c r="F423" s="8" t="n">
        <x:v>407284</x:v>
      </x:c>
    </x:row>
    <x:row r="424" ht="23" customHeight="1">
      <x:c r="A424" s="2" t="str">
        <x:v>Imports</x:v>
      </x:c>
      <x:c r="B424" s="2" t="n">
        <x:v>420</x:v>
      </x:c>
      <x:c r="C424" s="2" t="str">
        <x:v>"          "              -      Girders, Beams and Joists ----     </x:v>
      </x:c>
      <x:c r="D424" s="2" t="str">
        <x:v>"</x:v>
      </x:c>
      <x:c r="E424" s="8" t="n">
        <x:v>3934</x:v>
      </x:c>
      <x:c r="F424" s="8" t="n">
        <x:v>22620</x:v>
      </x:c>
    </x:row>
    <x:row r="425" ht="23" customHeight="1">
      <x:c r="A425" s="2" t="str">
        <x:v>Imports</x:v>
      </x:c>
      <x:c r="B425" s="2" t="n">
        <x:v>421</x:v>
      </x:c>
      <x:c r="C425" s="2" t="str">
        <x:v>"          "              -      Plates and Sheets ----     </x:v>
      </x:c>
      <x:c r="D425" s="2" t="str">
        <x:v>"</x:v>
      </x:c>
      <x:c r="E425" s="8" t="n">
        <x:v>13307</x:v>
      </x:c>
      <x:c r="F425" s="8" t="n">
        <x:v>103127</x:v>
      </x:c>
    </x:row>
    <x:row r="426" ht="23" customHeight="1">
      <x:c r="A426" s="2" t="str">
        <x:v>Imports</x:v>
      </x:c>
      <x:c r="B426" s="2" t="n">
        <x:v>422</x:v>
      </x:c>
      <x:c r="C426" s="2" t="str">
        <x:v>"          "              -      Hoops and Strips ----     </x:v>
      </x:c>
      <x:c r="D426" s="2" t="str">
        <x:v>"</x:v>
      </x:c>
      <x:c r="E426" s="8" t="n">
        <x:v>1203</x:v>
      </x:c>
      <x:c r="F426" s="8" t="n">
        <x:v>9323</x:v>
      </x:c>
    </x:row>
    <x:row r="427" ht="23" customHeight="1">
      <x:c r="A427" s="2" t="str">
        <x:v>Imports</x:v>
      </x:c>
      <x:c r="B427" s="2" t="n">
        <x:v>423</x:v>
      </x:c>
      <x:c r="C427" s="2" t="str">
        <x:v>"          "              -       Anchors and Chains ----     </x:v>
      </x:c>
      <x:c r="D427" s="2" t="str">
        <x:v>"</x:v>
      </x:c>
      <x:c r="E427" s="8" t="n">
        <x:v>1398</x:v>
      </x:c>
      <x:c r="F427" s="8" t="n">
        <x:v>27960</x:v>
      </x:c>
    </x:row>
    <x:row r="428" ht="23" customHeight="1">
      <x:c r="A428" s="2" t="str">
        <x:v>Imports</x:v>
      </x:c>
      <x:c r="B428" s="2" t="n">
        <x:v>424</x:v>
      </x:c>
      <x:c r="C428" s="2" t="str">
        <x:v>"          "              -      Anvils and Vices ----     </x:v>
      </x:c>
      <x:c r="D428" s="2" t="str">
        <x:v>cwts.</x:v>
      </x:c>
      <x:c r="E428" s="8" t="n">
        <x:v>1338</x:v>
      </x:c>
      <x:c r="F428" s="8" t="n">
        <x:v>1673</x:v>
      </x:c>
    </x:row>
    <x:row r="429" ht="23" customHeight="1">
      <x:c r="A429" s="2" t="str">
        <x:v>Imports</x:v>
      </x:c>
      <x:c r="B429" s="2" t="n">
        <x:v>425</x:v>
      </x:c>
      <x:c r="C429" s="2" t="str">
        <x:v>"          "              -      Bolts, Rivets and Nuts ----     </x:v>
      </x:c>
      <x:c r="D429" s="2" t="str">
        <x:v>tons.</x:v>
      </x:c>
      <x:c r="E429" s="8" t="n">
        <x:v>7712</x:v>
      </x:c>
      <x:c r="F429" s="8" t="n">
        <x:v>88688</x:v>
      </x:c>
    </x:row>
    <x:row r="430" ht="23" customHeight="1">
      <x:c r="A430" s="2" t="str">
        <x:v>Imports</x:v>
      </x:c>
      <x:c r="B430" s="2" t="n">
        <x:v>426</x:v>
      </x:c>
      <x:c r="C430" s="2" t="str">
        <x:v>"          "              -      Nails and Screws ----     </x:v>
      </x:c>
      <x:c r="D430" s="2" t="str">
        <x:v>"</x:v>
      </x:c>
      <x:c r="E430" s="8" t="n">
        <x:v>6640</x:v>
      </x:c>
      <x:c r="F430" s="8" t="n">
        <x:v>69720</x:v>
      </x:c>
    </x:row>
    <x:row r="431" ht="23" customHeight="1">
      <x:c r="A431" s="2" t="str">
        <x:v>Imports</x:v>
      </x:c>
      <x:c r="B431" s="2" t="n">
        <x:v>427</x:v>
      </x:c>
      <x:c r="C431" s="2" t="str">
        <x:v>"          "              -      Gutters, Pipes, &amp;c.     </x:v>
      </x:c>
      <x:c r="D431" s="2" t="str">
        <x:v>cwts.</x:v>
      </x:c>
      <x:c r="E431" s="8" t="n">
        <x:v>72560</x:v>
      </x:c>
      <x:c r="F431" s="8" t="n">
        <x:v>23582</x:v>
      </x:c>
    </x:row>
    <x:row r="432" ht="23" customHeight="1">
      <x:c r="A432" s="2" t="str">
        <x:v>Imports</x:v>
      </x:c>
      <x:c r="B432" s="2" t="n">
        <x:v>428</x:v>
      </x:c>
      <x:c r="C432" s="2" t="str">
        <x:v>"          "              -      Type -----     </x:v>
      </x:c>
      <x:c r="D432" s="2" t="str">
        <x:v>tons.</x:v>
      </x:c>
      <x:c r="E432" s="8" t="n">
        <x:v>72</x:v>
      </x:c>
      <x:c r="F432" s="8" t="n">
        <x:v>9000</x:v>
      </x:c>
    </x:row>
    <x:row r="433" ht="23" customHeight="1">
      <x:c r="A433" s="2" t="str">
        <x:v>Imports</x:v>
      </x:c>
      <x:c r="B433" s="2" t="n">
        <x:v>429</x:v>
      </x:c>
      <x:c r="C433" s="2" t="str">
        <x:v>"          "              -      Meters ----     </x:v>
      </x:c>
      <x:c r="D433" s="2" t="str">
        <x:v>"</x:v>
      </x:c>
      <x:c r="E433" s="8" t="n">
        <x:v>218</x:v>
      </x:c>
      <x:c r="F433" s="8" t="n">
        <x:v>39303</x:v>
      </x:c>
    </x:row>
    <x:row r="434" ht="23" customHeight="1">
      <x:c r="A434" s="2" t="str">
        <x:v>Imports</x:v>
      </x:c>
      <x:c r="B434" s="2" t="n">
        <x:v>430</x:v>
      </x:c>
      <x:c r="C434" s="2" t="str">
        <x:v>"          "              -      Safes ----     </x:v>
      </x:c>
      <x:c r="D434" s="2" t="str">
        <x:v>"</x:v>
      </x:c>
      <x:c r="E434" s="8" t="n">
        <x:v>172</x:v>
      </x:c>
      <x:c r="F434" s="8" t="n">
        <x:v>5160</x:v>
      </x:c>
    </x:row>
    <x:row r="435" ht="23" customHeight="1">
      <x:c r="A435" s="2" t="str">
        <x:v>Imports</x:v>
      </x:c>
      <x:c r="B435" s="2" t="n">
        <x:v>431</x:v>
      </x:c>
      <x:c r="C435" s="2" t="str">
        <x:v>"          "              -      Pumps ----     </x:v>
      </x:c>
      <x:c r="D435" s="2" t="str">
        <x:v>cwts.</x:v>
      </x:c>
      <x:c r="E435" s="8" t="n">
        <x:v>1176</x:v>
      </x:c>
      <x:c r="F435" s="8" t="n">
        <x:v>3293</x:v>
      </x:c>
    </x:row>
    <x:row r="436" ht="23" customHeight="1">
      <x:c r="A436" s="2" t="str">
        <x:v>Imports</x:v>
      </x:c>
      <x:c r="B436" s="2" t="n">
        <x:v>432</x:v>
      </x:c>
      <x:c r="C436" s="2" t="str">
        <x:v>"          "              -      Cables, Electric ----     </x:v>
      </x:c>
      <x:c r="D436" s="2" t="str">
        <x:v>"</x:v>
      </x:c>
      <x:c r="E436" s="8" t="n">
        <x:v>2625</x:v>
      </x:c>
      <x:c r="F436" s="8" t="n">
        <x:v>32813</x:v>
      </x:c>
    </x:row>
    <x:row r="437" ht="23" customHeight="1">
      <x:c r="A437" s="2" t="str">
        <x:v>Imports</x:v>
      </x:c>
      <x:c r="B437" s="2" t="n">
        <x:v>433</x:v>
      </x:c>
      <x:c r="C437" s="2" t="str">
        <x:v>"          "              -      Trunks ----     </x:v>
      </x:c>
      <x:c r="D437" s="2" t="str">
        <x:v>"</x:v>
      </x:c>
      <x:c r="E437" s="8" t="n">
        <x:v>4677</x:v>
      </x:c>
      <x:c r="F437" s="8" t="n">
        <x:v>7016</x:v>
      </x:c>
    </x:row>
    <x:row r="438" ht="23" customHeight="1">
      <x:c r="A438" s="2" t="str">
        <x:v>Imports</x:v>
      </x:c>
      <x:c r="B438" s="2" t="n">
        <x:v>434</x:v>
      </x:c>
      <x:c r="C438" s="2" t="str">
        <x:v>"         "              -       Forks and Rakes ----     </x:v>
      </x:c>
      <x:c r="D438" s="2" t="str">
        <x:v>"</x:v>
      </x:c>
      <x:c r="E438" s="8" t="n">
        <x:v>72150</x:v>
      </x:c>
      <x:c r="F438" s="8" t="n">
        <x:v>99206</x:v>
      </x:c>
    </x:row>
    <x:row r="439" ht="23" customHeight="1">
      <x:c r="A439" s="2" t="str">
        <x:v>Imports</x:v>
      </x:c>
      <x:c r="B439" s="2" t="n">
        <x:v>435</x:v>
      </x:c>
      <x:c r="C439" s="2" t="str">
        <x:v>  -  Spades and Shovels ----   </x:v>
      </x:c>
      <x:c r="D439" s="2" t="str">
        <x:v>"</x:v>
      </x:c>
      <x:c r="E439" s="8" t="n">
        <x:v>3872</x:v>
      </x:c>
      <x:c r="F439" s="8" t="n">
        <x:v>5324</x:v>
      </x:c>
    </x:row>
    <x:row r="440" ht="23" customHeight="1">
      <x:c r="A440" s="2" t="str">
        <x:v>Imports</x:v>
      </x:c>
      <x:c r="B440" s="2" t="n">
        <x:v>436</x:v>
      </x:c>
      <x:c r="C440" s="2" t="str">
        <x:v>"         "  - Scythes and Hooks,&amp;c.   </x:v>
      </x:c>
      <x:c r="D440" s="2" t="str">
        <x:v>"</x:v>
      </x:c>
      <x:c r="E440" s="8" t="n">
        <x:v>2521</x:v>
      </x:c>
      <x:c r="F440" s="8" t="n">
        <x:v>3996</x:v>
      </x:c>
    </x:row>
    <x:row r="441" ht="23" customHeight="1">
      <x:c r="A441" s="2" t="str">
        <x:v>Imports</x:v>
      </x:c>
      <x:c r="B441" s="2" t="n">
        <x:v>437</x:v>
      </x:c>
      <x:c r="C441" s="2" t="str">
        <x:v>"         "  -  Boilers and Cylinders ----   </x:v>
      </x:c>
      <x:c r="D441" s="2" t="str">
        <x:v>"</x:v>
      </x:c>
      <x:c r="E441" s="8" t="n">
        <x:v>51340</x:v>
      </x:c>
      <x:c r="F441" s="8" t="n">
        <x:v>102680</x:v>
      </x:c>
    </x:row>
    <x:row r="442" ht="23" customHeight="1">
      <x:c r="A442" s="2" t="str">
        <x:v>Imports</x:v>
      </x:c>
      <x:c r="B442" s="2" t="n">
        <x:v>438</x:v>
      </x:c>
      <x:c r="C442" s="2" t="str">
        <x:v>"         "  - Railway Plant, Iron chairs,Buffers,Fishplates,&amp;c. ----   </x:v>
      </x:c>
      <x:c r="D442" s="2" t="str">
        <x:v>tons.</x:v>
      </x:c>
      <x:c r="E442" s="8" t="n">
        <x:v>21606</x:v>
      </x:c>
      <x:c r="F442" s="8" t="n">
        <x:v>162045</x:v>
      </x:c>
    </x:row>
    <x:row r="443" ht="23" customHeight="1">
      <x:c r="A443" s="2" t="str">
        <x:v>Imports</x:v>
      </x:c>
      <x:c r="B443" s="2" t="n">
        <x:v>439</x:v>
      </x:c>
      <x:c r="C443" s="2" t="str">
        <x:v>"         "  Ranges,Stoves,Ovens and parts ----   </x:v>
      </x:c>
      <x:c r="D443" s="2" t="str">
        <x:v>cwts.</x:v>
      </x:c>
      <x:c r="E443" s="8" t="n">
        <x:v>32658</x:v>
      </x:c>
      <x:c r="F443" s="8" t="n">
        <x:v>36740</x:v>
      </x:c>
    </x:row>
    <x:row r="444" ht="23" customHeight="1">
      <x:c r="A444" s="2" t="str">
        <x:v>Imports</x:v>
      </x:c>
      <x:c r="B444" s="2" t="n">
        <x:v>440</x:v>
      </x:c>
      <x:c r="C444" s="2" t="str">
        <x:v>"         "  -Basins,Tanks,Cisterns,&amp;c. ----   </x:v>
      </x:c>
      <x:c r="D444" s="2" t="str">
        <x:v>"</x:v>
      </x:c>
      <x:c r="E444" s="8" t="n">
        <x:v>946</x:v>
      </x:c>
      <x:c r="F444" s="8" t="n">
        <x:v>828</x:v>
      </x:c>
    </x:row>
    <x:row r="445" ht="23" customHeight="1">
      <x:c r="A445" s="2" t="str">
        <x:v>Imports</x:v>
      </x:c>
      <x:c r="B445" s="2" t="n">
        <x:v>441</x:v>
      </x:c>
      <x:c r="C445" s="2" t="str">
        <x:v>"         "  - Pots,Pans,Buckets, &amp;c.   </x:v>
      </x:c>
      <x:c r="D445" s="2" t="str">
        <x:v>"</x:v>
      </x:c>
      <x:c r="E445" s="8" t="n">
        <x:v>19770</x:v>
      </x:c>
      <x:c r="F445" s="8" t="n">
        <x:v>12356</x:v>
      </x:c>
    </x:row>
    <x:row r="446" ht="23" customHeight="1">
      <x:c r="A446" s="2" t="str">
        <x:v>Imports</x:v>
      </x:c>
      <x:c r="B446" s="2" t="n">
        <x:v>442</x:v>
      </x:c>
      <x:c r="C446" s="2" t="str">
        <x:v>"         "  - Wire and Wire Netting ----   </x:v>
      </x:c>
      <x:c r="D446" s="2" t="str">
        <x:v>tons.</x:v>
      </x:c>
      <x:c r="E446" s="8" t="n">
        <x:v>4096</x:v>
      </x:c>
      <x:c r="F446" s="8" t="n">
        <x:v>34816</x:v>
      </x:c>
    </x:row>
    <x:row r="447" ht="23" customHeight="1">
      <x:c r="A447" s="2" t="str">
        <x:v>Imports</x:v>
      </x:c>
      <x:c r="B447" s="2" t="n">
        <x:v>443</x:v>
      </x:c>
      <x:c r="C447" s="2" t="str">
        <x:v>"         "  - Hardware ----   </x:v>
      </x:c>
      <x:c r="D447" s="2" t="str">
        <x:v>cwts.</x:v>
      </x:c>
      <x:c r="E447" s="8" t="n">
        <x:v>215217</x:v>
      </x:c>
      <x:c r="F447" s="8" t="n">
        <x:v>430434</x:v>
      </x:c>
    </x:row>
    <x:row r="448" ht="23" customHeight="1">
      <x:c r="A448" s="2" t="str">
        <x:v>Imports</x:v>
      </x:c>
      <x:c r="B448" s="2" t="n">
        <x:v>444</x:v>
      </x:c>
      <x:c r="C448" s="2" t="str">
        <x:v>"         "  - Electro-plated Ware ----   </x:v>
      </x:c>
      <x:c r="D448" s="2" t="str">
        <x:v>"</x:v>
      </x:c>
      <x:c r="E448" s="8" t="n">
        <x:v>3019</x:v>
      </x:c>
      <x:c r="F448" s="8" t="n">
        <x:v>50719</x:v>
      </x:c>
    </x:row>
    <x:row r="449" ht="23" customHeight="1">
      <x:c r="A449" s="2" t="str">
        <x:v>Imports</x:v>
      </x:c>
      <x:c r="B449" s="2" t="n">
        <x:v>445</x:v>
      </x:c>
      <x:c r="C449" s="2" t="str">
        <x:v>"         "  - Iron Manufactures, unclassified ----   </x:v>
      </x:c>
      <x:c r="D449" s="2" t="str">
        <x:v>tons.</x:v>
      </x:c>
      <x:c r="E449" s="8" t="n">
        <x:v>27769</x:v>
      </x:c>
      <x:c r="F449" s="8" t="n">
        <x:v>555380</x:v>
      </x:c>
    </x:row>
    <x:row r="450" ht="23" customHeight="1">
      <x:c r="A450" s="2" t="str">
        <x:v>Imports</x:v>
      </x:c>
      <x:c r="B450" s="2" t="n">
        <x:v>446</x:v>
      </x:c>
      <x:c r="C450" s="2" t="str">
        <x:v>Ores  - Iron Ore ----     </x:v>
      </x:c>
      <x:c r="D450" s="2" t="str">
        <x:v>"</x:v>
      </x:c>
      <x:c r="E450" s="8" t="n">
        <x:v>622</x:v>
      </x:c>
      <x:c r="F450" s="8" t="n">
        <x:v>467</x:v>
      </x:c>
    </x:row>
    <x:row r="451" ht="23" customHeight="1">
      <x:c r="A451" s="2" t="str">
        <x:v>Imports</x:v>
      </x:c>
      <x:c r="B451" s="2" t="n">
        <x:v>447</x:v>
      </x:c>
      <x:c r="C451" s="2" t="str">
        <x:v>"       - Sulphur Ore ----     </x:v>
      </x:c>
      <x:c r="D451" s="2" t="str">
        <x:v>"</x:v>
      </x:c>
      <x:c r="E451" s="8" t="n">
        <x:v>38287</x:v>
      </x:c>
      <x:c r="F451" s="8" t="n">
        <x:v>30671</x:v>
      </x:c>
    </x:row>
    <x:row r="452" ht="23" customHeight="1">
      <x:c r="A452" s="2" t="str">
        <x:v>Imports</x:v>
      </x:c>
      <x:c r="B452" s="2" t="n">
        <x:v>448</x:v>
      </x:c>
      <x:c r="C452" s="2" t="str">
        <x:v>"       - Lead Ore ----     </x:v>
      </x:c>
      <x:c r="D452" s="2" t="str">
        <x:v>"</x:v>
      </x:c>
      <x:c r="E452" s="8" t="n">
        <x:v>465</x:v>
      </x:c>
      <x:c r="F452" s="8" t="n">
        <x:v>4187</x:v>
      </x:c>
    </x:row>
    <x:row r="453" ht="23" customHeight="1">
      <x:c r="A453" s="2" t="str">
        <x:v>Imports</x:v>
      </x:c>
      <x:c r="B453" s="2" t="n">
        <x:v>449</x:v>
      </x:c>
      <x:c r="C453" s="2" t="str">
        <x:v>"       - unclassified ----     </x:v>
      </x:c>
      <x:c r="D453" s="2" t="str">
        <x:v>"</x:v>
      </x:c>
      <x:c r="E453" s="8" t="n">
        <x:v>6844</x:v>
      </x:c>
      <x:c r="F453" s="8" t="n">
        <x:v>8062</x:v>
      </x:c>
    </x:row>
    <x:row r="454" ht="23" customHeight="1">
      <x:c r="A454" s="2" t="str">
        <x:v>Imports</x:v>
      </x:c>
      <x:c r="B454" s="2" t="n">
        <x:v>450</x:v>
      </x:c>
      <x:c r="C454" s="2" t="str">
        <x:v>     </x:v>
      </x:c>
      <x:c r="D454" s="2"/>
      <x:c r="E454" s="8"/>
      <x:c r="F454" s="8"/>
    </x:row>
    <x:row r="455" ht="23" customHeight="1">
      <x:c r="A455" s="2" t="str">
        <x:v>Imports</x:v>
      </x:c>
      <x:c r="B455" s="2" t="n">
        <x:v>451</x:v>
      </x:c>
      <x:c r="C455" s="2" t="str">
        <x:v>     </x:v>
      </x:c>
      <x:c r="D455" s="2"/>
      <x:c r="E455" s="8"/>
      <x:c r="F455" s="8"/>
    </x:row>
    <x:row r="456" ht="23" customHeight="1">
      <x:c r="A456" s="2" t="str">
        <x:v>Imports</x:v>
      </x:c>
      <x:c r="B456" s="2" t="n">
        <x:v>452</x:v>
      </x:c>
      <x:c r="C456" s="2" t="str">
        <x:v>     </x:v>
      </x:c>
      <x:c r="D456" s="2"/>
      <x:c r="E456" s="8"/>
      <x:c r="F456" s="8"/>
    </x:row>
    <x:row r="457" ht="23" customHeight="1">
      <x:c r="A457" s="2" t="str">
        <x:v>Imports</x:v>
      </x:c>
      <x:c r="B457" s="2" t="n">
        <x:v>453</x:v>
      </x:c>
      <x:c r="C457" s="2" t="str">
        <x:v>50. MILK - Condensed ----     </x:v>
      </x:c>
      <x:c r="D457" s="2" t="str">
        <x:v>cwts.</x:v>
      </x:c>
      <x:c r="E457" s="8" t="n">
        <x:v>19799</x:v>
      </x:c>
      <x:c r="F457" s="8" t="n">
        <x:v>27966</x:v>
      </x:c>
    </x:row>
    <x:row r="458" ht="23" customHeight="1">
      <x:c r="A458" s="2" t="str">
        <x:v>Imports</x:v>
      </x:c>
      <x:c r="B458" s="2" t="n">
        <x:v>454</x:v>
      </x:c>
      <x:c r="C458" s="2" t="str">
        <x:v>     </x:v>
      </x:c>
      <x:c r="D458" s="2"/>
      <x:c r="E458" s="8"/>
      <x:c r="F458" s="8"/>
    </x:row>
    <x:row r="459" ht="23" customHeight="1">
      <x:c r="A459" s="2" t="str">
        <x:v>Imports</x:v>
      </x:c>
      <x:c r="B459" s="2" t="n">
        <x:v>455</x:v>
      </x:c>
      <x:c r="C459" s="2" t="str">
        <x:v>     </x:v>
      </x:c>
      <x:c r="D459" s="2"/>
      <x:c r="E459" s="8"/>
      <x:c r="F459" s="8"/>
    </x:row>
    <x:row r="460" ht="23" customHeight="1">
      <x:c r="A460" s="2" t="str">
        <x:v>Imports</x:v>
      </x:c>
      <x:c r="B460" s="2" t="n">
        <x:v>456</x:v>
      </x:c>
      <x:c r="C460" s="2" t="str">
        <x:v>     </x:v>
      </x:c>
      <x:c r="D460" s="2"/>
      <x:c r="E460" s="8"/>
      <x:c r="F460" s="8"/>
    </x:row>
    <x:row r="461" ht="23" customHeight="1">
      <x:c r="A461" s="2" t="str">
        <x:v>Imports</x:v>
      </x:c>
      <x:c r="B461" s="2" t="n">
        <x:v>457</x:v>
      </x:c>
      <x:c r="C461" s="2" t="str">
        <x:v>51. MOSS ----     </x:v>
      </x:c>
      <x:c r="D461" s="2" t="str">
        <x:v>"</x:v>
      </x:c>
      <x:c r="E461" s="8" t="n">
        <x:v>268</x:v>
      </x:c>
      <x:c r="F461" s="8" t="n">
        <x:v>214</x:v>
      </x:c>
    </x:row>
    <x:row r="462" ht="23" customHeight="1">
      <x:c r="A462" s="2" t="str">
        <x:v>Imports</x:v>
      </x:c>
      <x:c r="B462" s="2" t="n">
        <x:v>458</x:v>
      </x:c>
      <x:c r="C462" s="2" t="str">
        <x:v>     </x:v>
      </x:c>
      <x:c r="D462" s="2"/>
      <x:c r="E462" s="8"/>
      <x:c r="F462" s="8"/>
    </x:row>
    <x:row r="463" ht="23" customHeight="1">
      <x:c r="A463" s="2" t="str">
        <x:v>Imports</x:v>
      </x:c>
      <x:c r="B463" s="2" t="n">
        <x:v>459</x:v>
      </x:c>
      <x:c r="C463" s="2" t="str">
        <x:v>     </x:v>
      </x:c>
      <x:c r="D463" s="2"/>
      <x:c r="E463" s="8"/>
      <x:c r="F463" s="8"/>
    </x:row>
    <x:row r="464" ht="23" customHeight="1">
      <x:c r="A464" s="2" t="str">
        <x:v>Imports</x:v>
      </x:c>
      <x:c r="B464" s="2" t="n">
        <x:v>460</x:v>
      </x:c>
      <x:c r="C464" s="2" t="str">
        <x:v>     </x:v>
      </x:c>
      <x:c r="D464" s="2"/>
      <x:c r="E464" s="8"/>
      <x:c r="F464" s="8"/>
    </x:row>
    <x:row r="465" ht="23" customHeight="1">
      <x:c r="A465" s="2" t="str">
        <x:v>Imports</x:v>
      </x:c>
      <x:c r="B465" s="2" t="n">
        <x:v>461</x:v>
      </x:c>
      <x:c r="C465" s="2" t="str">
        <x:v>52. OILS -     </x:v>
      </x:c>
      <x:c r="D465" s="2"/>
      <x:c r="E465" s="8"/>
      <x:c r="F465" s="8"/>
    </x:row>
    <x:row r="466" ht="23" customHeight="1">
      <x:c r="A466" s="2" t="str">
        <x:v>Imports</x:v>
      </x:c>
      <x:c r="B466" s="2" t="n">
        <x:v>462</x:v>
      </x:c>
      <x:c r="C466" s="2" t="str">
        <x:v>Cotton Oil ----     </x:v>
      </x:c>
      <x:c r="D466" s="2" t="str">
        <x:v>tons.</x:v>
      </x:c>
      <x:c r="E466" s="8" t="n">
        <x:v>314</x:v>
      </x:c>
      <x:c r="F466" s="8" t="n">
        <x:v>6594</x:v>
      </x:c>
    </x:row>
    <x:row r="467" ht="23" customHeight="1">
      <x:c r="A467" s="2" t="str">
        <x:v>Imports</x:v>
      </x:c>
      <x:c r="B467" s="2" t="n">
        <x:v>463</x:v>
      </x:c>
      <x:c r="C467" s="2" t="str">
        <x:v>Linseed Oil ----     </x:v>
      </x:c>
      <x:c r="D467" s="2" t="str">
        <x:v>"</x:v>
      </x:c>
      <x:c r="E467" s="8" t="n">
        <x:v>213</x:v>
      </x:c>
      <x:c r="F467" s="8" t="n">
        <x:v>3830</x:v>
      </x:c>
    </x:row>
    <x:row r="468" ht="23" customHeight="1">
      <x:c r="A468" s="2" t="str">
        <x:v>Imports</x:v>
      </x:c>
      <x:c r="B468" s="2" t="n">
        <x:v>464</x:v>
      </x:c>
      <x:c r="C468" s="2" t="str">
        <x:v>Naphtha ----     </x:v>
      </x:c>
      <x:c r="D468" s="2" t="str">
        <x:v>galls.</x:v>
      </x:c>
      <x:c r="E468" s="8" t="n">
        <x:v>202803</x:v>
      </x:c>
      <x:c r="F468" s="8" t="n">
        <x:v>6338</x:v>
      </x:c>
    </x:row>
    <x:row r="469" ht="23" customHeight="1">
      <x:c r="A469" s="2" t="str">
        <x:v>Imports</x:v>
      </x:c>
      <x:c r="B469" s="2" t="n">
        <x:v>465</x:v>
      </x:c>
      <x:c r="C469" s="2" t="str">
        <x:v>Petroleum and Paraffin Oil ----     </x:v>
      </x:c>
      <x:c r="D469" s="2" t="str">
        <x:v>"</x:v>
      </x:c>
      <x:c r="E469" s="8" t="n">
        <x:v>20191678</x:v>
      </x:c>
      <x:c r="F469" s="8" t="n">
        <x:v>504792</x:v>
      </x:c>
    </x:row>
    <x:row r="470" ht="23" customHeight="1">
      <x:c r="A470" s="2" t="str">
        <x:v>Imports</x:v>
      </x:c>
      <x:c r="B470" s="2" t="n">
        <x:v>466</x:v>
      </x:c>
      <x:c r="C470" s="2" t="str">
        <x:v>Oleo and Oleine ----     </x:v>
      </x:c>
      <x:c r="D470" s="2" t="str">
        <x:v>cwts.</x:v>
      </x:c>
      <x:c r="E470" s="8" t="n">
        <x:v>6891</x:v>
      </x:c>
      <x:c r="F470" s="8" t="n">
        <x:v>10337</x:v>
      </x:c>
    </x:row>
    <x:row r="471" ht="23" customHeight="1">
      <x:c r="A471" s="2" t="str">
        <x:v>Imports</x:v>
      </x:c>
      <x:c r="B471" s="2" t="n">
        <x:v>467</x:v>
      </x:c>
      <x:c r="C471" s="2" t="str">
        <x:v>Turpentine ----     </x:v>
      </x:c>
      <x:c r="D471" s="2" t="str">
        <x:v>"</x:v>
      </x:c>
      <x:c r="E471" s="8" t="n">
        <x:v>15795</x:v>
      </x:c>
      <x:c r="F471" s="8" t="n">
        <x:v>33170</x:v>
      </x:c>
    </x:row>
    <x:row r="472" ht="23" customHeight="1">
      <x:c r="A472" s="2" t="str">
        <x:v>Imports</x:v>
      </x:c>
      <x:c r="B472" s="2" t="n">
        <x:v>468</x:v>
      </x:c>
      <x:c r="C472" s="2" t="str">
        <x:v>Oils,unclassified ----     </x:v>
      </x:c>
      <x:c r="D472" s="2" t="str">
        <x:v>"</x:v>
      </x:c>
      <x:c r="E472" s="8" t="n">
        <x:v>534526</x:v>
      </x:c>
      <x:c r="F472" s="8" t="n">
        <x:v>320716</x:v>
      </x:c>
    </x:row>
    <x:row r="473" ht="23" customHeight="1">
      <x:c r="A473" s="2" t="str">
        <x:v>Imports</x:v>
      </x:c>
      <x:c r="B473" s="2" t="n">
        <x:v>469</x:v>
      </x:c>
      <x:c r="C473" s="2" t="str">
        <x:v>     </x:v>
      </x:c>
      <x:c r="D473" s="2"/>
      <x:c r="E473" s="8"/>
      <x:c r="F473" s="8"/>
    </x:row>
    <x:row r="474" ht="23" customHeight="1">
      <x:c r="A474" s="2" t="str">
        <x:v>Imports</x:v>
      </x:c>
      <x:c r="B474" s="2" t="n">
        <x:v>470</x:v>
      </x:c>
      <x:c r="C474" s="2" t="str">
        <x:v>     </x:v>
      </x:c>
      <x:c r="D474" s="2"/>
      <x:c r="E474" s="8"/>
      <x:c r="F474" s="8"/>
    </x:row>
    <x:row r="475" ht="23" customHeight="1">
      <x:c r="A475" s="2" t="str">
        <x:v>Imports</x:v>
      </x:c>
      <x:c r="B475" s="2" t="n">
        <x:v>471</x:v>
      </x:c>
      <x:c r="C475" s="2" t="str">
        <x:v>     </x:v>
      </x:c>
      <x:c r="D475" s="2"/>
      <x:c r="E475" s="8"/>
      <x:c r="F475" s="8"/>
    </x:row>
    <x:row r="476" ht="23" customHeight="1">
      <x:c r="A476" s="2" t="str">
        <x:v>Imports</x:v>
      </x:c>
      <x:c r="B476" s="2" t="n">
        <x:v>472</x:v>
      </x:c>
      <x:c r="C476" s="2" t="str">
        <x:v>53. PAINTS and PAINTERS' MATERIALS -     </x:v>
      </x:c>
      <x:c r="D476" s="2"/>
      <x:c r="E476" s="8"/>
      <x:c r="F476" s="8"/>
    </x:row>
    <x:row r="477" ht="23" customHeight="1">
      <x:c r="A477" s="2" t="str">
        <x:v>Imports</x:v>
      </x:c>
      <x:c r="B477" s="2" t="n">
        <x:v>473</x:v>
      </x:c>
      <x:c r="C477" s="2" t="str">
        <x:v>Paints, unclassified ----     </x:v>
      </x:c>
      <x:c r="D477" s="2" t="str">
        <x:v>"</x:v>
      </x:c>
      <x:c r="E477" s="8" t="n">
        <x:v>97635</x:v>
      </x:c>
      <x:c r="F477" s="8" t="n">
        <x:v>48818</x:v>
      </x:c>
    </x:row>
    <x:row r="478" ht="23" customHeight="1">
      <x:c r="A478" s="2" t="str">
        <x:v>Imports</x:v>
      </x:c>
      <x:c r="B478" s="2" t="n">
        <x:v>474</x:v>
      </x:c>
      <x:c r="C478" s="2" t="str">
        <x:v>Lead Paint ----     </x:v>
      </x:c>
      <x:c r="D478" s="2" t="str">
        <x:v>"</x:v>
      </x:c>
      <x:c r="E478" s="8" t="n">
        <x:v>5677</x:v>
      </x:c>
      <x:c r="F478" s="8" t="n">
        <x:v>5677</x:v>
      </x:c>
    </x:row>
    <x:row r="479" ht="23" customHeight="1">
      <x:c r="A479" s="2" t="str">
        <x:v>Imports</x:v>
      </x:c>
      <x:c r="B479" s="2" t="n">
        <x:v>475</x:v>
      </x:c>
      <x:c r="C479" s="2" t="str">
        <x:v>Varnish ----     </x:v>
      </x:c>
      <x:c r="D479" s="2" t="str">
        <x:v>"</x:v>
      </x:c>
      <x:c r="E479" s="8" t="n">
        <x:v>13599</x:v>
      </x:c>
      <x:c r="F479" s="8" t="n">
        <x:v>57796</x:v>
      </x:c>
    </x:row>
    <x:row r="480" ht="23" customHeight="1">
      <x:c r="A480" s="2" t="str">
        <x:v>Imports</x:v>
      </x:c>
      <x:c r="B480" s="2" t="n">
        <x:v>476</x:v>
      </x:c>
      <x:c r="C480" s="2" t="str">
        <x:v>Lampblack ----     </x:v>
      </x:c>
      <x:c r="D480" s="2" t="str">
        <x:v>"</x:v>
      </x:c>
      <x:c r="E480" s="8" t="n">
        <x:v>893</x:v>
      </x:c>
      <x:c r="F480" s="8" t="n">
        <x:v>313</x:v>
      </x:c>
    </x:row>
    <x:row r="481" ht="23" customHeight="1">
      <x:c r="A481" s="2" t="str">
        <x:v>Imports</x:v>
      </x:c>
      <x:c r="B481" s="2" t="n">
        <x:v>477</x:v>
      </x:c>
      <x:c r="C481" s="2" t="str">
        <x:v>Iron Oxide ----     </x:v>
      </x:c>
      <x:c r="D481" s="2" t="str">
        <x:v>"</x:v>
      </x:c>
      <x:c r="E481" s="8" t="n">
        <x:v>882</x:v>
      </x:c>
      <x:c r="F481" s="8" t="n">
        <x:v>265</x:v>
      </x:c>
    </x:row>
    <x:row r="482" ht="23" customHeight="1">
      <x:c r="A482" s="2" t="str">
        <x:v>Imports</x:v>
      </x:c>
      <x:c r="B482" s="2" t="n">
        <x:v>478</x:v>
      </x:c>
      <x:c r="C482" s="2" t="str">
        <x:v>Barytes ----     </x:v>
      </x:c>
      <x:c r="D482" s="2" t="str">
        <x:v>"</x:v>
      </x:c>
      <x:c r="E482" s="8" t="n">
        <x:v>757</x:v>
      </x:c>
      <x:c r="F482" s="8" t="n">
        <x:v>95</x:v>
      </x:c>
    </x:row>
    <x:row r="483" ht="23" customHeight="1">
      <x:c r="A483" s="2" t="str">
        <x:v>Imports</x:v>
      </x:c>
      <x:c r="B483" s="2" t="n">
        <x:v>479</x:v>
      </x:c>
      <x:c r="C483" s="2" t="str">
        <x:v>Mineral White ----     </x:v>
      </x:c>
      <x:c r="D483" s="2" t="str">
        <x:v>"</x:v>
      </x:c>
      <x:c r="E483" s="8" t="n">
        <x:v>179</x:v>
      </x:c>
      <x:c r="F483" s="8" t="n">
        <x:v>143</x:v>
      </x:c>
    </x:row>
    <x:row r="484" ht="23" customHeight="1">
      <x:c r="A484" s="2" t="str">
        <x:v>Imports</x:v>
      </x:c>
      <x:c r="B484" s="2" t="n">
        <x:v>480</x:v>
      </x:c>
      <x:c r="C484" s="2" t="str">
        <x:v>Mineral Black ----     </x:v>
      </x:c>
      <x:c r="D484" s="2" t="str">
        <x:v>"</x:v>
      </x:c>
      <x:c r="E484" s="8" t="n">
        <x:v>260</x:v>
      </x:c>
      <x:c r="F484" s="8" t="n">
        <x:v>98</x:v>
      </x:c>
    </x:row>
    <x:row r="485" ht="23" customHeight="1">
      <x:c r="A485" s="2" t="str">
        <x:v>Imports</x:v>
      </x:c>
      <x:c r="B485" s="2" t="n">
        <x:v>481</x:v>
      </x:c>
      <x:c r="C485" s="2" t="str">
        <x:v>Putty ----     </x:v>
      </x:c>
      <x:c r="D485" s="2" t="str">
        <x:v>"</x:v>
      </x:c>
      <x:c r="E485" s="8" t="n">
        <x:v>12439</x:v>
      </x:c>
      <x:c r="F485" s="8" t="n">
        <x:v>3110</x:v>
      </x:c>
    </x:row>
    <x:row r="486" ht="23" customHeight="1">
      <x:c r="A486" s="2" t="str">
        <x:v>Imports</x:v>
      </x:c>
      <x:c r="B486" s="2" t="n">
        <x:v>482</x:v>
      </x:c>
      <x:c r="C486" s="2" t="str">
        <x:v>Sizing ----     </x:v>
      </x:c>
      <x:c r="D486" s="2" t="str">
        <x:v>"</x:v>
      </x:c>
      <x:c r="E486" s="8" t="n">
        <x:v>4442</x:v>
      </x:c>
      <x:c r="F486" s="8" t="n">
        <x:v>11993</x:v>
      </x:c>
    </x:row>
    <x:row r="487" ht="23" customHeight="1">
      <x:c r="A487" s="2" t="str">
        <x:v>Imports</x:v>
      </x:c>
      <x:c r="B487" s="2" t="n">
        <x:v>483</x:v>
      </x:c>
      <x:c r="C487" s="2" t="str">
        <x:v>Shellac ----     </x:v>
      </x:c>
      <x:c r="D487" s="2" t="str">
        <x:v>"</x:v>
      </x:c>
      <x:c r="E487" s="8" t="n">
        <x:v>131</x:v>
      </x:c>
      <x:c r="F487" s="8" t="n">
        <x:v>786</x:v>
      </x:c>
    </x:row>
    <x:row r="488" ht="23" customHeight="1">
      <x:c r="A488" s="2" t="str">
        <x:v>Imports</x:v>
      </x:c>
      <x:c r="B488" s="2" t="n">
        <x:v>484</x:v>
      </x:c>
      <x:c r="C488" s="2" t="str">
        <x:v>     </x:v>
      </x:c>
      <x:c r="D488" s="2"/>
      <x:c r="E488" s="8"/>
      <x:c r="F488" s="8"/>
    </x:row>
    <x:row r="489" ht="23" customHeight="1">
      <x:c r="A489" s="2" t="str">
        <x:v>Imports</x:v>
      </x:c>
      <x:c r="B489" s="2" t="n">
        <x:v>485</x:v>
      </x:c>
      <x:c r="C489" s="2" t="str">
        <x:v>     </x:v>
      </x:c>
      <x:c r="D489" s="2"/>
      <x:c r="E489" s="8"/>
      <x:c r="F489" s="8"/>
    </x:row>
    <x:row r="490" ht="23" customHeight="1">
      <x:c r="A490" s="2" t="str">
        <x:v>Imports</x:v>
      </x:c>
      <x:c r="B490" s="2" t="n">
        <x:v>486</x:v>
      </x:c>
      <x:c r="C490" s="2" t="str">
        <x:v>     </x:v>
      </x:c>
      <x:c r="D490" s="2"/>
      <x:c r="E490" s="8"/>
      <x:c r="F490" s="8"/>
    </x:row>
    <x:row r="491" ht="23" customHeight="1">
      <x:c r="A491" s="2" t="str">
        <x:v>Imports</x:v>
      </x:c>
      <x:c r="B491" s="2" t="n">
        <x:v>487</x:v>
      </x:c>
      <x:c r="C491" s="2" t="str">
        <x:v>54. PAPER and PRINTED MATTER -     </x:v>
      </x:c>
      <x:c r="D491" s="2"/>
      <x:c r="E491" s="8"/>
      <x:c r="F491" s="8"/>
    </x:row>
    <x:row r="492" ht="23" customHeight="1">
      <x:c r="A492" s="2" t="str">
        <x:v>Imports</x:v>
      </x:c>
      <x:c r="B492" s="2" t="n">
        <x:v>488</x:v>
      </x:c>
      <x:c r="C492" s="2" t="str">
        <x:v>Paper ----     </x:v>
      </x:c>
      <x:c r="D492" s="2" t="str">
        <x:v>"</x:v>
      </x:c>
      <x:c r="E492" s="8" t="n">
        <x:v>709566</x:v>
      </x:c>
      <x:c r="F492" s="8" t="n">
        <x:v>603131</x:v>
      </x:c>
    </x:row>
    <x:row r="493" ht="23" customHeight="1">
      <x:c r="A493" s="2" t="str">
        <x:v>Imports</x:v>
      </x:c>
      <x:c r="B493" s="2" t="n">
        <x:v>489</x:v>
      </x:c>
      <x:c r="C493" s="2" t="str">
        <x:v>Paper Pulp ----     </x:v>
      </x:c>
      <x:c r="D493" s="2" t="str">
        <x:v>"</x:v>
      </x:c>
      <x:c r="E493" s="8" t="n">
        <x:v>27719</x:v>
      </x:c>
      <x:c r="F493" s="8" t="n">
        <x:v>6930</x:v>
      </x:c>
    </x:row>
    <x:row r="494" ht="23" customHeight="1">
      <x:c r="A494" s="2" t="str">
        <x:v>Imports</x:v>
      </x:c>
      <x:c r="B494" s="2" t="n">
        <x:v>490</x:v>
      </x:c>
      <x:c r="C494" s="2" t="str">
        <x:v>Wood Pulp ----     </x:v>
      </x:c>
      <x:c r="D494" s="2" t="str">
        <x:v>tons.</x:v>
      </x:c>
      <x:c r="E494" s="8" t="n">
        <x:v>12707</x:v>
      </x:c>
      <x:c r="F494" s="8" t="n">
        <x:v>63553</x:v>
      </x:c>
    </x:row>
    <x:row r="495" ht="23" customHeight="1">
      <x:c r="A495" s="2" t="str">
        <x:v>Imports</x:v>
      </x:c>
      <x:c r="B495" s="2" t="n">
        <x:v>491</x:v>
      </x:c>
      <x:c r="C495" s="2" t="str">
        <x:v>Foreign Grass ----     </x:v>
      </x:c>
      <x:c r="D495" s="2" t="str">
        <x:v>cwts.</x:v>
      </x:c>
      <x:c r="E495" s="8" t="n">
        <x:v>4147</x:v>
      </x:c>
      <x:c r="F495" s="8" t="n">
        <x:v>778</x:v>
      </x:c>
    </x:row>
    <x:row r="496" ht="23" customHeight="1">
      <x:c r="A496" s="2" t="str">
        <x:v>Imports</x:v>
      </x:c>
      <x:c r="B496" s="2" t="n">
        <x:v>492</x:v>
      </x:c>
      <x:c r="C496" s="2" t="str">
        <x:v>Cardboard and Millboards ----     </x:v>
      </x:c>
      <x:c r="D496" s="2" t="str">
        <x:v>"</x:v>
      </x:c>
      <x:c r="E496" s="8" t="n">
        <x:v>48662</x:v>
      </x:c>
      <x:c r="F496" s="8" t="n">
        <x:v>25756</x:v>
      </x:c>
    </x:row>
    <x:row r="497" ht="23" customHeight="1">
      <x:c r="A497" s="2" t="str">
        <x:v>Imports</x:v>
      </x:c>
      <x:c r="B497" s="2" t="n">
        <x:v>493</x:v>
      </x:c>
      <x:c r="C497" s="2" t="str">
        <x:v>Strawboard ----     </x:v>
      </x:c>
      <x:c r="D497" s="2" t="str">
        <x:v>"</x:v>
      </x:c>
      <x:c r="E497" s="8" t="n">
        <x:v>33429</x:v>
      </x:c>
      <x:c r="F497" s="8" t="n">
        <x:v>9193</x:v>
      </x:c>
    </x:row>
    <x:row r="498" ht="23" customHeight="1">
      <x:c r="A498" s="2" t="str">
        <x:v>Imports</x:v>
      </x:c>
      <x:c r="B498" s="2" t="n">
        <x:v>494</x:v>
      </x:c>
      <x:c r="C498" s="2" t="str">
        <x:v>Stationery ----     </x:v>
      </x:c>
      <x:c r="D498" s="2" t="str">
        <x:v>"</x:v>
      </x:c>
      <x:c r="E498" s="8" t="n">
        <x:v>51916</x:v>
      </x:c>
      <x:c r="F498" s="8" t="n">
        <x:v>155748</x:v>
      </x:c>
    </x:row>
    <x:row r="499" ht="23" customHeight="1">
      <x:c r="A499" s="2" t="str">
        <x:v>Imports</x:v>
      </x:c>
      <x:c r="B499" s="2" t="n">
        <x:v>495</x:v>
      </x:c>
      <x:c r="C499" s="2" t="str">
        <x:v>Books ----     </x:v>
      </x:c>
      <x:c r="D499" s="2" t="str">
        <x:v>value</x:v>
      </x:c>
      <x:c r="E499" s="8" t="str">
        <x:v>-</x:v>
      </x:c>
      <x:c r="F499" s="8" t="n">
        <x:v>80000</x:v>
      </x:c>
    </x:row>
    <x:row r="500" ht="23" customHeight="1">
      <x:c r="A500" s="2" t="str">
        <x:v>Imports</x:v>
      </x:c>
      <x:c r="B500" s="2" t="n">
        <x:v>496</x:v>
      </x:c>
      <x:c r="C500" s="2" t="str">
        <x:v>Showcards ----     </x:v>
      </x:c>
      <x:c r="D500" s="2" t="str">
        <x:v>cwts.</x:v>
      </x:c>
      <x:c r="E500" s="8" t="n">
        <x:v>8667</x:v>
      </x:c>
      <x:c r="F500" s="8" t="n">
        <x:v>60669</x:v>
      </x:c>
    </x:row>
    <x:row r="501" ht="23" customHeight="1">
      <x:c r="A501" s="2" t="str">
        <x:v>Imports</x:v>
      </x:c>
      <x:c r="B501" s="2" t="n">
        <x:v>497</x:v>
      </x:c>
      <x:c r="C501" s="2" t="str">
        <x:v>Other Printed Matter,Newspapers,&amp;c. ----     </x:v>
      </x:c>
      <x:c r="D501" s="2" t="str">
        <x:v>"</x:v>
      </x:c>
      <x:c r="E501" s="8" t="n">
        <x:v>39375</x:v>
      </x:c>
      <x:c r="F501" s="8" t="n">
        <x:v>41344</x:v>
      </x:c>
    </x:row>
    <x:row r="502" ht="23" customHeight="1">
      <x:c r="A502" s="2" t="str">
        <x:v>Imports</x:v>
      </x:c>
      <x:c r="B502" s="2" t="n">
        <x:v>498</x:v>
      </x:c>
      <x:c r="C502" s="2" t="str">
        <x:v>     </x:v>
      </x:c>
      <x:c r="D502" s="2"/>
      <x:c r="E502" s="8"/>
      <x:c r="F502" s="8"/>
    </x:row>
    <x:row r="503" ht="23" customHeight="1">
      <x:c r="A503" s="2" t="str">
        <x:v>Imports</x:v>
      </x:c>
      <x:c r="B503" s="2" t="n">
        <x:v>499</x:v>
      </x:c>
      <x:c r="C503" s="2" t="str">
        <x:v>     </x:v>
      </x:c>
      <x:c r="D503" s="2"/>
      <x:c r="E503" s="8"/>
      <x:c r="F503" s="8"/>
    </x:row>
    <x:row r="504" ht="23" customHeight="1">
      <x:c r="A504" s="2" t="str">
        <x:v>Imports</x:v>
      </x:c>
      <x:c r="B504" s="2" t="n">
        <x:v>500</x:v>
      </x:c>
      <x:c r="C504" s="2" t="str">
        <x:v>     </x:v>
      </x:c>
      <x:c r="D504" s="2"/>
      <x:c r="E504" s="8"/>
      <x:c r="F504" s="8"/>
    </x:row>
    <x:row r="505" ht="23" customHeight="1">
      <x:c r="A505" s="2" t="str">
        <x:v>Imports</x:v>
      </x:c>
      <x:c r="B505" s="2" t="n">
        <x:v>501</x:v>
      </x:c>
      <x:c r="C505" s="2" t="str">
        <x:v>55. PARAFFIN SHALE ----     </x:v>
      </x:c>
      <x:c r="D505" s="2" t="str">
        <x:v>"</x:v>
      </x:c>
      <x:c r="E505" s="8" t="n">
        <x:v>24720</x:v>
      </x:c>
      <x:c r="F505" s="8" t="n">
        <x:v>32136</x:v>
      </x:c>
    </x:row>
    <x:row r="506" ht="23" customHeight="1">
      <x:c r="A506" s="2" t="str">
        <x:v>Imports</x:v>
      </x:c>
      <x:c r="B506" s="2" t="n">
        <x:v>502</x:v>
      </x:c>
      <x:c r="C506" s="2" t="str">
        <x:v>     </x:v>
      </x:c>
      <x:c r="D506" s="2"/>
      <x:c r="E506" s="8"/>
      <x:c r="F506" s="8"/>
    </x:row>
    <x:row r="507" ht="23" customHeight="1">
      <x:c r="A507" s="2" t="str">
        <x:v>Imports</x:v>
      </x:c>
      <x:c r="B507" s="2" t="n">
        <x:v>503</x:v>
      </x:c>
      <x:c r="C507" s="2" t="str">
        <x:v>     </x:v>
      </x:c>
      <x:c r="D507" s="2"/>
      <x:c r="E507" s="8"/>
      <x:c r="F507" s="8"/>
    </x:row>
    <x:row r="508" ht="23" customHeight="1">
      <x:c r="A508" s="2" t="str">
        <x:v>Imports</x:v>
      </x:c>
      <x:c r="B508" s="2" t="n">
        <x:v>504</x:v>
      </x:c>
      <x:c r="C508" s="2" t="str">
        <x:v>     </x:v>
      </x:c>
      <x:c r="D508" s="2"/>
      <x:c r="E508" s="8"/>
      <x:c r="F508" s="8"/>
    </x:row>
    <x:row r="509" ht="23" customHeight="1">
      <x:c r="A509" s="2" t="str">
        <x:v>Imports</x:v>
      </x:c>
      <x:c r="B509" s="2" t="n">
        <x:v>505</x:v>
      </x:c>
      <x:c r="C509" s="2" t="str">
        <x:v>56. PEAT LITTER ----     </x:v>
      </x:c>
      <x:c r="D509" s="2" t="str">
        <x:v>"</x:v>
      </x:c>
      <x:c r="E509" s="8" t="n">
        <x:v>79303</x:v>
      </x:c>
      <x:c r="F509" s="8" t="n">
        <x:v>5948</x:v>
      </x:c>
    </x:row>
    <x:row r="510" ht="23" customHeight="1">
      <x:c r="A510" s="2" t="str">
        <x:v>Imports</x:v>
      </x:c>
      <x:c r="B510" s="2" t="n">
        <x:v>506</x:v>
      </x:c>
      <x:c r="C510" s="2" t="str">
        <x:v>     </x:v>
      </x:c>
      <x:c r="D510" s="2"/>
      <x:c r="E510" s="8"/>
      <x:c r="F510" s="8"/>
    </x:row>
    <x:row r="511" ht="23" customHeight="1">
      <x:c r="A511" s="2" t="str">
        <x:v>Imports</x:v>
      </x:c>
      <x:c r="B511" s="2" t="n">
        <x:v>507</x:v>
      </x:c>
      <x:c r="C511" s="2" t="str">
        <x:v>     </x:v>
      </x:c>
      <x:c r="D511" s="2"/>
      <x:c r="E511" s="8"/>
      <x:c r="F511" s="8"/>
    </x:row>
    <x:row r="512" ht="23" customHeight="1">
      <x:c r="A512" s="2" t="str">
        <x:v>Imports</x:v>
      </x:c>
      <x:c r="B512" s="2" t="n">
        <x:v>508</x:v>
      </x:c>
      <x:c r="C512" s="2" t="str">
        <x:v>     </x:v>
      </x:c>
      <x:c r="D512" s="2"/>
      <x:c r="E512" s="8"/>
      <x:c r="F512" s="8"/>
    </x:row>
    <x:row r="513" ht="23" customHeight="1">
      <x:c r="A513" s="2" t="str">
        <x:v>Imports</x:v>
      </x:c>
      <x:c r="B513" s="2" t="n">
        <x:v>509</x:v>
      </x:c>
      <x:c r="C513" s="2" t="str">
        <x:v>57. PERFUMERY ----     </x:v>
      </x:c>
      <x:c r="D513" s="2" t="str">
        <x:v>lbs.</x:v>
      </x:c>
      <x:c r="E513" s="8" t="n">
        <x:v>25648</x:v>
      </x:c>
      <x:c r="F513" s="8" t="n">
        <x:v>2288</x:v>
      </x:c>
    </x:row>
    <x:row r="514" ht="23" customHeight="1">
      <x:c r="A514" s="2" t="str">
        <x:v>Imports</x:v>
      </x:c>
      <x:c r="B514" s="2" t="n">
        <x:v>510</x:v>
      </x:c>
      <x:c r="C514" s="2" t="str">
        <x:v>     </x:v>
      </x:c>
      <x:c r="D514" s="2"/>
      <x:c r="E514" s="8"/>
      <x:c r="F514" s="8"/>
    </x:row>
    <x:row r="515" ht="23" customHeight="1">
      <x:c r="A515" s="2" t="str">
        <x:v>Imports</x:v>
      </x:c>
      <x:c r="B515" s="2" t="n">
        <x:v>511</x:v>
      </x:c>
      <x:c r="C515" s="2" t="str">
        <x:v>     </x:v>
      </x:c>
      <x:c r="D515" s="2"/>
      <x:c r="E515" s="8"/>
      <x:c r="F515" s="8"/>
    </x:row>
    <x:row r="516" ht="23" customHeight="1">
      <x:c r="A516" s="2" t="str">
        <x:v>Imports</x:v>
      </x:c>
      <x:c r="B516" s="2" t="n">
        <x:v>512</x:v>
      </x:c>
      <x:c r="C516" s="2" t="str">
        <x:v>     </x:v>
      </x:c>
      <x:c r="D516" s="2"/>
      <x:c r="E516" s="8"/>
      <x:c r="F516" s="8"/>
    </x:row>
    <x:row r="517" ht="23" customHeight="1">
      <x:c r="A517" s="2" t="str">
        <x:v>Imports</x:v>
      </x:c>
      <x:c r="B517" s="2" t="n">
        <x:v>513</x:v>
      </x:c>
      <x:c r="C517" s="2" t="str">
        <x:v>58. PICKLES,SAUCES,&amp;c. ----     </x:v>
      </x:c>
      <x:c r="D517" s="2" t="str">
        <x:v>cwts.</x:v>
      </x:c>
      <x:c r="E517" s="8" t="n">
        <x:v>23870</x:v>
      </x:c>
      <x:c r="F517" s="8" t="n">
        <x:v>50724</x:v>
      </x:c>
    </x:row>
    <x:row r="518" ht="23" customHeight="1">
      <x:c r="A518" s="2" t="str">
        <x:v>Imports</x:v>
      </x:c>
      <x:c r="B518" s="2" t="n">
        <x:v>514</x:v>
      </x:c>
      <x:c r="C518" s="2" t="str">
        <x:v>"           "             , Vinegar ----     </x:v>
      </x:c>
      <x:c r="D518" s="2" t="str">
        <x:v>galls.</x:v>
      </x:c>
      <x:c r="E518" s="8" t="n">
        <x:v>69140</x:v>
      </x:c>
      <x:c r="F518" s="8" t="n">
        <x:v>1729</x:v>
      </x:c>
    </x:row>
    <x:row r="519" ht="23" customHeight="1">
      <x:c r="A519" s="2" t="str">
        <x:v>Imports</x:v>
      </x:c>
      <x:c r="B519" s="2" t="n">
        <x:v>515</x:v>
      </x:c>
      <x:c r="C519" s="2" t="str">
        <x:v>     </x:v>
      </x:c>
      <x:c r="D519" s="2"/>
      <x:c r="E519" s="8"/>
      <x:c r="F519" s="8"/>
    </x:row>
    <x:row r="520" ht="23" customHeight="1">
      <x:c r="A520" s="2" t="str">
        <x:v>Imports</x:v>
      </x:c>
      <x:c r="B520" s="2" t="n">
        <x:v>516</x:v>
      </x:c>
      <x:c r="C520" s="2" t="str">
        <x:v>     </x:v>
      </x:c>
      <x:c r="D520" s="2"/>
      <x:c r="E520" s="8"/>
      <x:c r="F520" s="8"/>
    </x:row>
    <x:row r="521" ht="23" customHeight="1">
      <x:c r="A521" s="2" t="str">
        <x:v>Imports</x:v>
      </x:c>
      <x:c r="B521" s="2" t="n">
        <x:v>517</x:v>
      </x:c>
      <x:c r="C521" s="2" t="str">
        <x:v>     </x:v>
      </x:c>
      <x:c r="D521" s="2"/>
      <x:c r="E521" s="8"/>
      <x:c r="F521" s="8"/>
    </x:row>
    <x:row r="522" ht="23" customHeight="1">
      <x:c r="A522" s="2" t="str">
        <x:v>Imports</x:v>
      </x:c>
      <x:c r="B522" s="2" t="n">
        <x:v>518</x:v>
      </x:c>
      <x:c r="C522" s="2" t="str">
        <x:v>59.PICTURES,ENGRAVINGS,&amp;c. ----     </x:v>
      </x:c>
      <x:c r="D522" s="2" t="str">
        <x:v>cwts.</x:v>
      </x:c>
      <x:c r="E522" s="8" t="n">
        <x:v>3032</x:v>
      </x:c>
      <x:c r="F522" s="8" t="n">
        <x:v>22740</x:v>
      </x:c>
    </x:row>
    <x:row r="523" ht="23" customHeight="1">
      <x:c r="A523" s="2" t="str">
        <x:v>Imports</x:v>
      </x:c>
      <x:c r="B523" s="2" t="n">
        <x:v>519</x:v>
      </x:c>
      <x:c r="C523" s="2" t="str">
        <x:v>     </x:v>
      </x:c>
      <x:c r="D523" s="2"/>
      <x:c r="E523" s="8"/>
      <x:c r="F523" s="8"/>
    </x:row>
    <x:row r="524" ht="23" customHeight="1">
      <x:c r="A524" s="2" t="str">
        <x:v>Imports</x:v>
      </x:c>
      <x:c r="B524" s="2" t="n">
        <x:v>520</x:v>
      </x:c>
      <x:c r="C524" s="2" t="str">
        <x:v>     </x:v>
      </x:c>
      <x:c r="D524" s="2"/>
      <x:c r="E524" s="8"/>
      <x:c r="F524" s="8"/>
    </x:row>
    <x:row r="525" ht="23" customHeight="1">
      <x:c r="A525" s="2" t="str">
        <x:v>Imports</x:v>
      </x:c>
      <x:c r="B525" s="2" t="n">
        <x:v>521</x:v>
      </x:c>
      <x:c r="C525" s="2" t="str">
        <x:v>     </x:v>
      </x:c>
      <x:c r="D525" s="2"/>
      <x:c r="E525" s="8"/>
      <x:c r="F525" s="8"/>
    </x:row>
    <x:row r="526" ht="23" customHeight="1">
      <x:c r="A526" s="2" t="str">
        <x:v>Imports</x:v>
      </x:c>
      <x:c r="B526" s="2" t="n">
        <x:v>522</x:v>
      </x:c>
      <x:c r="C526" s="2" t="str">
        <x:v>60. POLISHES and ABRASIVES -     </x:v>
      </x:c>
      <x:c r="D526" s="2"/>
      <x:c r="E526" s="8"/>
      <x:c r="F526" s="8"/>
    </x:row>
    <x:row r="527" ht="23" customHeight="1">
      <x:c r="A527" s="2" t="str">
        <x:v>Imports</x:v>
      </x:c>
      <x:c r="B527" s="2" t="n">
        <x:v>523</x:v>
      </x:c>
      <x:c r="C527" s="2" t="str">
        <x:v>Blacking and Blacklead ----     </x:v>
      </x:c>
      <x:c r="D527" s="2" t="str">
        <x:v>"</x:v>
      </x:c>
      <x:c r="E527" s="8" t="n">
        <x:v>33073</x:v>
      </x:c>
      <x:c r="F527" s="8" t="n">
        <x:v>16812</x:v>
      </x:c>
    </x:row>
    <x:row r="528" ht="23" customHeight="1">
      <x:c r="A528" s="2" t="str">
        <x:v>Imports</x:v>
      </x:c>
      <x:c r="B528" s="2" t="n">
        <x:v>524</x:v>
      </x:c>
      <x:c r="C528" s="2" t="str">
        <x:v>Polishes,unclassified ----     </x:v>
      </x:c>
      <x:c r="D528" s="2" t="str">
        <x:v>"</x:v>
      </x:c>
      <x:c r="E528" s="8" t="n">
        <x:v>319</x:v>
      </x:c>
      <x:c r="F528" s="8" t="n">
        <x:v>718</x:v>
      </x:c>
    </x:row>
    <x:row r="529" ht="23" customHeight="1">
      <x:c r="A529" s="2" t="str">
        <x:v>Imports</x:v>
      </x:c>
      <x:c r="B529" s="2" t="n">
        <x:v>525</x:v>
      </x:c>
      <x:c r="C529" s="2" t="str">
        <x:v>Bathbrick ----     </x:v>
      </x:c>
      <x:c r="D529" s="2" t="str">
        <x:v>"</x:v>
      </x:c>
      <x:c r="E529" s="8" t="n">
        <x:v>1852</x:v>
      </x:c>
      <x:c r="F529" s="8" t="n">
        <x:v>232</x:v>
      </x:c>
    </x:row>
    <x:row r="530" ht="23" customHeight="1">
      <x:c r="A530" s="2" t="str">
        <x:v>Imports</x:v>
      </x:c>
      <x:c r="B530" s="2" t="n">
        <x:v>526</x:v>
      </x:c>
      <x:c r="C530" s="2" t="str">
        <x:v>Emery ----     </x:v>
      </x:c>
      <x:c r="D530" s="2" t="str">
        <x:v>"</x:v>
      </x:c>
      <x:c r="E530" s="8" t="n">
        <x:v>1016</x:v>
      </x:c>
      <x:c r="F530" s="8" t="n">
        <x:v>813</x:v>
      </x:c>
    </x:row>
    <x:row r="531" ht="23" customHeight="1">
      <x:c r="A531" s="2" t="str">
        <x:v>Imports</x:v>
      </x:c>
      <x:c r="B531" s="2" t="n">
        <x:v>527</x:v>
      </x:c>
      <x:c r="C531" s="2" t="str">
        <x:v>Emery Cloth ----     </x:v>
      </x:c>
      <x:c r="D531" s="2" t="str">
        <x:v>"</x:v>
      </x:c>
      <x:c r="E531" s="8" t="n">
        <x:v>1424</x:v>
      </x:c>
      <x:c r="F531" s="8" t="n">
        <x:v>3560</x:v>
      </x:c>
    </x:row>
    <x:row r="532" ht="23" customHeight="1">
      <x:c r="A532" s="2" t="str">
        <x:v>Imports</x:v>
      </x:c>
      <x:c r="B532" s="2" t="n">
        <x:v>528</x:v>
      </x:c>
      <x:c r="C532" s="2" t="str">
        <x:v>Pumice Stone ----     </x:v>
      </x:c>
      <x:c r="D532" s="2" t="str">
        <x:v>tons.</x:v>
      </x:c>
      <x:c r="E532" s="8" t="n">
        <x:v>21</x:v>
      </x:c>
      <x:c r="F532" s="8" t="n">
        <x:v>210</x:v>
      </x:c>
    </x:row>
    <x:row r="533" ht="23" customHeight="1">
      <x:c r="A533" s="2" t="str">
        <x:v>Imports</x:v>
      </x:c>
      <x:c r="B533" s="2" t="n">
        <x:v>529</x:v>
      </x:c>
      <x:c r="C533" s="2" t="str">
        <x:v>Grindstones ----     </x:v>
      </x:c>
      <x:c r="D533" s="2" t="str">
        <x:v>"</x:v>
      </x:c>
      <x:c r="E533" s="8" t="n">
        <x:v>341</x:v>
      </x:c>
      <x:c r="F533" s="8" t="n">
        <x:v>1023</x:v>
      </x:c>
    </x:row>
    <x:row r="534" ht="23" customHeight="1">
      <x:c r="A534" s="2" t="str">
        <x:v>Imports</x:v>
      </x:c>
      <x:c r="B534" s="2" t="n">
        <x:v>530</x:v>
      </x:c>
      <x:c r="C534" s="2" t="str">
        <x:v>Scythe Stones ----     </x:v>
      </x:c>
      <x:c r="D534" s="2" t="str">
        <x:v>"</x:v>
      </x:c>
      <x:c r="E534" s="8" t="n">
        <x:v>46</x:v>
      </x:c>
      <x:c r="F534" s="8" t="n">
        <x:v>138</x:v>
      </x:c>
    </x:row>
    <x:row r="535" ht="23" customHeight="1">
      <x:c r="A535" s="2" t="str">
        <x:v>Imports</x:v>
      </x:c>
      <x:c r="B535" s="2" t="n">
        <x:v>531</x:v>
      </x:c>
      <x:c r="C535" s="2" t="str">
        <x:v>     </x:v>
      </x:c>
      <x:c r="D535" s="2"/>
      <x:c r="E535" s="8"/>
      <x:c r="F535" s="8" t="n">
        <x:v>1</x:v>
      </x:c>
    </x:row>
    <x:row r="536" ht="23" customHeight="1">
      <x:c r="A536" s="2" t="str">
        <x:v>Imports</x:v>
      </x:c>
      <x:c r="B536" s="2" t="n">
        <x:v>532</x:v>
      </x:c>
      <x:c r="C536" s="2" t="str">
        <x:v>     </x:v>
      </x:c>
      <x:c r="D536" s="2"/>
      <x:c r="E536" s="8"/>
      <x:c r="F536" s="8"/>
    </x:row>
    <x:row r="537" ht="23" customHeight="1">
      <x:c r="A537" s="2" t="str">
        <x:v>Imports</x:v>
      </x:c>
      <x:c r="B537" s="2" t="n">
        <x:v>533</x:v>
      </x:c>
      <x:c r="C537" s="2" t="str">
        <x:v>     </x:v>
      </x:c>
      <x:c r="D537" s="2"/>
      <x:c r="E537" s="8"/>
      <x:c r="F537" s="8"/>
    </x:row>
    <x:row r="538" ht="23" customHeight="1">
      <x:c r="A538" s="2" t="str">
        <x:v>Imports</x:v>
      </x:c>
      <x:c r="B538" s="2" t="n">
        <x:v>534</x:v>
      </x:c>
      <x:c r="C538" s="2" t="str">
        <x:v>61.RAGS ----     </x:v>
      </x:c>
      <x:c r="D538" s="2" t="str">
        <x:v>"</x:v>
      </x:c>
      <x:c r="E538" s="8" t="n">
        <x:v>1325</x:v>
      </x:c>
      <x:c r="F538" s="8" t="n">
        <x:v>11704</x:v>
      </x:c>
    </x:row>
    <x:row r="539" ht="23" customHeight="1">
      <x:c r="A539" s="2" t="str">
        <x:v>Imports</x:v>
      </x:c>
      <x:c r="B539" s="2" t="n">
        <x:v>535</x:v>
      </x:c>
      <x:c r="C539" s="2" t="str">
        <x:v>     </x:v>
      </x:c>
      <x:c r="D539" s="2"/>
      <x:c r="E539" s="8"/>
      <x:c r="F539" s="8"/>
    </x:row>
    <x:row r="540" ht="23" customHeight="1">
      <x:c r="A540" s="2" t="str">
        <x:v>Imports</x:v>
      </x:c>
      <x:c r="B540" s="2" t="n">
        <x:v>536</x:v>
      </x:c>
      <x:c r="C540" s="2" t="str">
        <x:v>     </x:v>
      </x:c>
      <x:c r="D540" s="2"/>
      <x:c r="E540" s="8"/>
      <x:c r="F540" s="8"/>
    </x:row>
    <x:row r="541" ht="23" customHeight="1">
      <x:c r="A541" s="2" t="str">
        <x:v>Imports</x:v>
      </x:c>
      <x:c r="B541" s="2" t="n">
        <x:v>537</x:v>
      </x:c>
      <x:c r="C541" s="2" t="str">
        <x:v>     </x:v>
      </x:c>
      <x:c r="D541" s="2"/>
      <x:c r="E541" s="8"/>
      <x:c r="F541" s="8"/>
    </x:row>
    <x:row r="542" ht="23" customHeight="1">
      <x:c r="A542" s="2" t="str">
        <x:v>Imports</x:v>
      </x:c>
      <x:c r="B542" s="2" t="n">
        <x:v>538</x:v>
      </x:c>
      <x:c r="C542" s="2" t="str">
        <x:v>62. RESIN ----     </x:v>
      </x:c>
      <x:c r="D542" s="2" t="str">
        <x:v>cwts.</x:v>
      </x:c>
      <x:c r="E542" s="8" t="n">
        <x:v>69945</x:v>
      </x:c>
      <x:c r="F542" s="8" t="n">
        <x:v>26229</x:v>
      </x:c>
    </x:row>
    <x:row r="543" ht="23" customHeight="1">
      <x:c r="A543" s="2" t="str">
        <x:v>Imports</x:v>
      </x:c>
      <x:c r="B543" s="2" t="n">
        <x:v>539</x:v>
      </x:c>
      <x:c r="C543" s="2" t="str">
        <x:v>     </x:v>
      </x:c>
      <x:c r="D543" s="2"/>
      <x:c r="E543" s="8"/>
      <x:c r="F543" s="8"/>
    </x:row>
    <x:row r="544" ht="23" customHeight="1">
      <x:c r="A544" s="2" t="str">
        <x:v>Imports</x:v>
      </x:c>
      <x:c r="B544" s="2" t="n">
        <x:v>540</x:v>
      </x:c>
      <x:c r="C544" s="2" t="str">
        <x:v>     </x:v>
      </x:c>
      <x:c r="D544" s="2"/>
      <x:c r="E544" s="8"/>
      <x:c r="F544" s="8"/>
    </x:row>
    <x:row r="545" ht="23" customHeight="1">
      <x:c r="A545" s="2" t="str">
        <x:v>Imports</x:v>
      </x:c>
      <x:c r="B545" s="2" t="n">
        <x:v>541</x:v>
      </x:c>
      <x:c r="C545" s="2" t="str">
        <x:v>     </x:v>
      </x:c>
      <x:c r="D545" s="2"/>
      <x:c r="E545" s="8"/>
      <x:c r="F545" s="8"/>
    </x:row>
    <x:row r="546" ht="23" customHeight="1">
      <x:c r="A546" s="2" t="str">
        <x:v>Imports</x:v>
      </x:c>
      <x:c r="B546" s="2" t="n">
        <x:v>542</x:v>
      </x:c>
      <x:c r="C546" s="2" t="str">
        <x:v>63. RETORTS ----     </x:v>
      </x:c>
      <x:c r="D546" s="2" t="str">
        <x:v>"</x:v>
      </x:c>
      <x:c r="E546" s="8" t="n">
        <x:v>12306</x:v>
      </x:c>
      <x:c r="F546" s="8" t="n">
        <x:v>1077</x:v>
      </x:c>
    </x:row>
    <x:row r="547" ht="23" customHeight="1">
      <x:c r="A547" s="2" t="str">
        <x:v>Imports</x:v>
      </x:c>
      <x:c r="B547" s="2" t="n">
        <x:v>543</x:v>
      </x:c>
      <x:c r="C547" s="2" t="str">
        <x:v>     </x:v>
      </x:c>
      <x:c r="D547" s="2"/>
      <x:c r="E547" s="8"/>
      <x:c r="F547" s="8"/>
    </x:row>
    <x:row r="548" ht="23" customHeight="1">
      <x:c r="A548" s="2" t="str">
        <x:v>Imports</x:v>
      </x:c>
      <x:c r="B548" s="2" t="n">
        <x:v>544</x:v>
      </x:c>
      <x:c r="C548" s="2" t="str">
        <x:v>     </x:v>
      </x:c>
      <x:c r="D548" s="2"/>
      <x:c r="E548" s="8"/>
      <x:c r="F548" s="8"/>
    </x:row>
    <x:row r="549" ht="23" customHeight="1">
      <x:c r="A549" s="2" t="str">
        <x:v>Imports</x:v>
      </x:c>
      <x:c r="B549" s="2" t="n">
        <x:v>545</x:v>
      </x:c>
      <x:c r="C549" s="2" t="str">
        <x:v>     </x:v>
      </x:c>
      <x:c r="D549" s="2"/>
      <x:c r="E549" s="8"/>
      <x:c r="F549" s="8"/>
    </x:row>
    <x:row r="550" ht="23" customHeight="1">
      <x:c r="A550" s="2" t="str">
        <x:v>Imports</x:v>
      </x:c>
      <x:c r="B550" s="2" t="n">
        <x:v>546</x:v>
      </x:c>
      <x:c r="C550" s="2" t="str">
        <x:v>64. SALT ----     </x:v>
      </x:c>
      <x:c r="D550" s="2" t="str">
        <x:v>tons.</x:v>
      </x:c>
      <x:c r="E550" s="8" t="n">
        <x:v>33129</x:v>
      </x:c>
      <x:c r="F550" s="8" t="n">
        <x:v>27331</x:v>
      </x:c>
    </x:row>
    <x:row r="551" ht="23" customHeight="1">
      <x:c r="A551" s="2" t="str">
        <x:v>Imports</x:v>
      </x:c>
      <x:c r="B551" s="2" t="n">
        <x:v>547</x:v>
      </x:c>
      <x:c r="C551" s="2" t="str">
        <x:v>     </x:v>
      </x:c>
      <x:c r="D551" s="2"/>
      <x:c r="E551" s="8"/>
      <x:c r="F551" s="8"/>
    </x:row>
    <x:row r="552" ht="23" customHeight="1">
      <x:c r="A552" s="2" t="str">
        <x:v>Imports</x:v>
      </x:c>
      <x:c r="B552" s="2" t="n">
        <x:v>548</x:v>
      </x:c>
      <x:c r="C552" s="2" t="str">
        <x:v>     </x:v>
      </x:c>
      <x:c r="D552" s="2"/>
      <x:c r="E552" s="8"/>
      <x:c r="F552" s="8"/>
    </x:row>
    <x:row r="553" ht="23" customHeight="1">
      <x:c r="A553" s="2" t="str">
        <x:v>Imports</x:v>
      </x:c>
      <x:c r="B553" s="2" t="n">
        <x:v>549</x:v>
      </x:c>
      <x:c r="C553" s="2" t="str">
        <x:v>     </x:v>
      </x:c>
      <x:c r="D553" s="2"/>
      <x:c r="E553" s="8"/>
      <x:c r="F553" s="8"/>
    </x:row>
    <x:row r="554" ht="23" customHeight="1">
      <x:c r="A554" s="2" t="str">
        <x:v>Imports</x:v>
      </x:c>
      <x:c r="B554" s="2" t="n">
        <x:v>550</x:v>
      </x:c>
      <x:c r="C554" s="2" t="str">
        <x:v>65. SAND, BUILDING ----     </x:v>
      </x:c>
      <x:c r="D554" s="2" t="str">
        <x:v>"</x:v>
      </x:c>
      <x:c r="E554" s="8" t="n">
        <x:v>502</x:v>
      </x:c>
      <x:c r="F554" s="8" t="n">
        <x:v>75</x:v>
      </x:c>
    </x:row>
    <x:row r="555" ht="23" customHeight="1">
      <x:c r="A555" s="2" t="str">
        <x:v>Imports</x:v>
      </x:c>
      <x:c r="B555" s="2" t="n">
        <x:v>551</x:v>
      </x:c>
      <x:c r="C555" s="2" t="str">
        <x:v>"      , SILVER ----     </x:v>
      </x:c>
      <x:c r="D555" s="2" t="str">
        <x:v>cwts.</x:v>
      </x:c>
      <x:c r="E555" s="8" t="n">
        <x:v>34688</x:v>
      </x:c>
      <x:c r="F555" s="8" t="n">
        <x:v>1040</x:v>
      </x:c>
    </x:row>
    <x:row r="556" ht="23" customHeight="1">
      <x:c r="A556" s="2" t="str">
        <x:v>Imports</x:v>
      </x:c>
      <x:c r="B556" s="2" t="n">
        <x:v>552</x:v>
      </x:c>
      <x:c r="C556" s="2" t="str">
        <x:v>     </x:v>
      </x:c>
      <x:c r="D556" s="2"/>
      <x:c r="E556" s="8"/>
      <x:c r="F556" s="8"/>
    </x:row>
    <x:row r="557" ht="23" customHeight="1">
      <x:c r="A557" s="2" t="str">
        <x:v>Imports</x:v>
      </x:c>
      <x:c r="B557" s="2" t="n">
        <x:v>553</x:v>
      </x:c>
      <x:c r="C557" s="2" t="str">
        <x:v>     </x:v>
      </x:c>
      <x:c r="D557" s="2"/>
      <x:c r="E557" s="8"/>
      <x:c r="F557" s="8"/>
    </x:row>
    <x:row r="558" ht="23" customHeight="1">
      <x:c r="A558" s="2" t="str">
        <x:v>Imports</x:v>
      </x:c>
      <x:c r="B558" s="2" t="n">
        <x:v>554</x:v>
      </x:c>
      <x:c r="C558" s="2" t="str">
        <x:v>     </x:v>
      </x:c>
      <x:c r="D558" s="2"/>
      <x:c r="E558" s="8"/>
      <x:c r="F558" s="8"/>
    </x:row>
    <x:row r="559" ht="23" customHeight="1">
      <x:c r="A559" s="2" t="str">
        <x:v>Imports</x:v>
      </x:c>
      <x:c r="B559" s="2" t="n">
        <x:v>555</x:v>
      </x:c>
      <x:c r="C559" s="2" t="str">
        <x:v>66. SEEDS -     </x:v>
      </x:c>
      <x:c r="D559" s="2"/>
      <x:c r="E559" s="8"/>
      <x:c r="F559" s="8"/>
    </x:row>
    <x:row r="560" ht="23" customHeight="1">
      <x:c r="A560" s="2" t="str">
        <x:v>Imports</x:v>
      </x:c>
      <x:c r="B560" s="2" t="n">
        <x:v>556</x:v>
      </x:c>
      <x:c r="C560" s="2" t="str">
        <x:v>Clover and Grass Seed ----     </x:v>
      </x:c>
      <x:c r="D560" s="2" t="str">
        <x:v>"</x:v>
      </x:c>
      <x:c r="E560" s="8" t="n">
        <x:v>43209</x:v>
      </x:c>
      <x:c r="F560" s="8" t="n">
        <x:v>19444</x:v>
      </x:c>
    </x:row>
    <x:row r="561" ht="23" customHeight="1">
      <x:c r="A561" s="2" t="str">
        <x:v>Imports</x:v>
      </x:c>
      <x:c r="B561" s="2" t="n">
        <x:v>557</x:v>
      </x:c>
      <x:c r="C561" s="2" t="str">
        <x:v>Flax Seed ----     </x:v>
      </x:c>
      <x:c r="D561" s="2" t="str">
        <x:v>"</x:v>
      </x:c>
      <x:c r="E561" s="8" t="n">
        <x:v>104856</x:v>
      </x:c>
      <x:c r="F561" s="8" t="n">
        <x:v>64665</x:v>
      </x:c>
    </x:row>
    <x:row r="562" ht="23" customHeight="1">
      <x:c r="A562" s="2" t="str">
        <x:v>Imports</x:v>
      </x:c>
      <x:c r="B562" s="2" t="n">
        <x:v>558</x:v>
      </x:c>
      <x:c r="C562" s="2" t="str">
        <x:v>Hemp Seed ----     </x:v>
      </x:c>
      <x:c r="D562" s="2" t="str">
        <x:v>"</x:v>
      </x:c>
      <x:c r="E562" s="8" t="n">
        <x:v>1028</x:v>
      </x:c>
      <x:c r="F562" s="8" t="n">
        <x:v>617</x:v>
      </x:c>
    </x:row>
    <x:row r="563" ht="23" customHeight="1">
      <x:c r="A563" s="2" t="str">
        <x:v>Imports</x:v>
      </x:c>
      <x:c r="B563" s="2" t="n">
        <x:v>559</x:v>
      </x:c>
      <x:c r="C563" s="2" t="str">
        <x:v>Seeds, unclassified ----     </x:v>
      </x:c>
      <x:c r="D563" s="2" t="str">
        <x:v>"</x:v>
      </x:c>
      <x:c r="E563" s="8" t="n">
        <x:v>60666</x:v>
      </x:c>
      <x:c r="F563" s="8" t="n">
        <x:v>27300</x:v>
      </x:c>
    </x:row>
    <x:row r="564" ht="23" customHeight="1">
      <x:c r="A564" s="2" t="str">
        <x:v>Imports</x:v>
      </x:c>
      <x:c r="B564" s="2" t="n">
        <x:v>560</x:v>
      </x:c>
      <x:c r="C564" s="2" t="str">
        <x:v>     </x:v>
      </x:c>
      <x:c r="D564" s="2"/>
      <x:c r="E564" s="8"/>
      <x:c r="F564" s="8"/>
    </x:row>
    <x:row r="565" ht="23" customHeight="1">
      <x:c r="A565" s="2" t="str">
        <x:v>Imports</x:v>
      </x:c>
      <x:c r="B565" s="2" t="n">
        <x:v>561</x:v>
      </x:c>
      <x:c r="C565" s="2" t="str">
        <x:v>     </x:v>
      </x:c>
      <x:c r="D565" s="2"/>
      <x:c r="E565" s="8"/>
      <x:c r="F565" s="8"/>
    </x:row>
    <x:row r="566" ht="23" customHeight="1">
      <x:c r="A566" s="2" t="str">
        <x:v>Imports</x:v>
      </x:c>
      <x:c r="B566" s="2" t="n">
        <x:v>562</x:v>
      </x:c>
      <x:c r="C566" s="2" t="str">
        <x:v>     </x:v>
      </x:c>
      <x:c r="D566" s="2"/>
      <x:c r="E566" s="8"/>
      <x:c r="F566" s="8"/>
    </x:row>
    <x:row r="567" ht="23" customHeight="1">
      <x:c r="A567" s="2" t="str">
        <x:v>Imports</x:v>
      </x:c>
      <x:c r="B567" s="2" t="n">
        <x:v>563</x:v>
      </x:c>
      <x:c r="C567" s="2" t="str">
        <x:v>67. SHIPS,BOATS,AND PARTS OF SAME -     </x:v>
      </x:c>
      <x:c r="D567" s="2"/>
      <x:c r="E567" s="8"/>
      <x:c r="F567" s="8"/>
    </x:row>
    <x:row r="568" ht="23" customHeight="1">
      <x:c r="A568" s="2" t="str">
        <x:v>Imports</x:v>
      </x:c>
      <x:c r="B568" s="2" t="n">
        <x:v>564</x:v>
      </x:c>
      <x:c r="C568" s="2" t="str">
        <x:v>Boats ----     </x:v>
      </x:c>
      <x:c r="D568" s="2" t="str">
        <x:v>No.</x:v>
      </x:c>
      <x:c r="E568" s="8" t="n">
        <x:v>136</x:v>
      </x:c>
      <x:c r="F568" s="8" t="n">
        <x:v>2720</x:v>
      </x:c>
    </x:row>
    <x:row r="569" ht="23" customHeight="1">
      <x:c r="A569" s="2" t="str">
        <x:v>Imports</x:v>
      </x:c>
      <x:c r="B569" s="2" t="n">
        <x:v>565</x:v>
      </x:c>
      <x:c r="C569" s="2" t="str">
        <x:v>Oars and Spars ----     </x:v>
      </x:c>
      <x:c r="D569" s="2" t="str">
        <x:v>cwts.</x:v>
      </x:c>
      <x:c r="E569" s="8" t="n">
        <x:v>424</x:v>
      </x:c>
      <x:c r="F569" s="8" t="n">
        <x:v>276</x:v>
      </x:c>
    </x:row>
    <x:row r="570" ht="23" customHeight="1">
      <x:c r="A570" s="2" t="str">
        <x:v>Imports</x:v>
      </x:c>
      <x:c r="B570" s="2" t="n">
        <x:v>566</x:v>
      </x:c>
      <x:c r="C570" s="2" t="str">
        <x:v>     </x:v>
      </x:c>
      <x:c r="D570" s="2"/>
      <x:c r="E570" s="8"/>
      <x:c r="F570" s="8"/>
    </x:row>
    <x:row r="571" ht="23" customHeight="1">
      <x:c r="A571" s="2" t="str">
        <x:v>Imports</x:v>
      </x:c>
      <x:c r="B571" s="2" t="n">
        <x:v>567</x:v>
      </x:c>
      <x:c r="C571" s="2" t="str">
        <x:v>     </x:v>
      </x:c>
      <x:c r="D571" s="2"/>
      <x:c r="E571" s="8"/>
      <x:c r="F571" s="8"/>
    </x:row>
    <x:row r="572" ht="23" customHeight="1">
      <x:c r="A572" s="2" t="str">
        <x:v>Imports</x:v>
      </x:c>
      <x:c r="B572" s="2" t="n">
        <x:v>568</x:v>
      </x:c>
      <x:c r="C572" s="2" t="str">
        <x:v>     </x:v>
      </x:c>
      <x:c r="D572" s="2"/>
      <x:c r="E572" s="8"/>
      <x:c r="F572" s="8"/>
    </x:row>
    <x:row r="573" ht="23" customHeight="1">
      <x:c r="A573" s="2" t="str">
        <x:v>Imports</x:v>
      </x:c>
      <x:c r="B573" s="2" t="n">
        <x:v>569</x:v>
      </x:c>
      <x:c r="C573" s="2" t="str">
        <x:v>68. SOAP ----     </x:v>
      </x:c>
      <x:c r="D573" s="2" t="str">
        <x:v>"</x:v>
      </x:c>
      <x:c r="E573" s="8" t="n">
        <x:v>140293</x:v>
      </x:c>
      <x:c r="F573" s="8" t="n">
        <x:v>154322</x:v>
      </x:c>
    </x:row>
    <x:row r="574" ht="23" customHeight="1">
      <x:c r="A574" s="2" t="str">
        <x:v>Imports</x:v>
      </x:c>
      <x:c r="B574" s="2" t="n">
        <x:v>570</x:v>
      </x:c>
      <x:c r="C574" s="2" t="str">
        <x:v>     </x:v>
      </x:c>
      <x:c r="D574" s="2"/>
      <x:c r="E574" s="8"/>
      <x:c r="F574" s="8"/>
    </x:row>
    <x:row r="575" ht="23" customHeight="1">
      <x:c r="A575" s="2" t="str">
        <x:v>Imports</x:v>
      </x:c>
      <x:c r="B575" s="2" t="n">
        <x:v>571</x:v>
      </x:c>
      <x:c r="C575" s="2" t="str">
        <x:v>     </x:v>
      </x:c>
      <x:c r="D575" s="2"/>
      <x:c r="E575" s="8"/>
      <x:c r="F575" s="8"/>
    </x:row>
    <x:row r="576" ht="23" customHeight="1">
      <x:c r="A576" s="2" t="str">
        <x:v>Imports</x:v>
      </x:c>
      <x:c r="B576" s="2" t="n">
        <x:v>572</x:v>
      </x:c>
      <x:c r="C576" s="2" t="str">
        <x:v>     </x:v>
      </x:c>
      <x:c r="D576" s="2"/>
      <x:c r="E576" s="8"/>
      <x:c r="F576" s="8"/>
    </x:row>
    <x:row r="577" ht="23" customHeight="1">
      <x:c r="A577" s="2" t="str">
        <x:v>Imports</x:v>
      </x:c>
      <x:c r="B577" s="2" t="n">
        <x:v>573</x:v>
      </x:c>
      <x:c r="C577" s="2" t="str">
        <x:v>69. SOOT ----     </x:v>
      </x:c>
      <x:c r="D577" s="2" t="str">
        <x:v>"</x:v>
      </x:c>
      <x:c r="E577" s="8" t="n">
        <x:v>10433</x:v>
      </x:c>
      <x:c r="F577" s="8" t="n">
        <x:v>783</x:v>
      </x:c>
    </x:row>
    <x:row r="578" ht="23" customHeight="1">
      <x:c r="A578" s="2" t="str">
        <x:v>Imports</x:v>
      </x:c>
      <x:c r="B578" s="2" t="n">
        <x:v>574</x:v>
      </x:c>
      <x:c r="C578" s="2" t="str">
        <x:v>     </x:v>
      </x:c>
      <x:c r="D578" s="2"/>
      <x:c r="E578" s="8"/>
      <x:c r="F578" s="8"/>
    </x:row>
    <x:row r="579" ht="23" customHeight="1">
      <x:c r="A579" s="2" t="str">
        <x:v>Imports</x:v>
      </x:c>
      <x:c r="B579" s="2" t="n">
        <x:v>575</x:v>
      </x:c>
      <x:c r="C579" s="2" t="str">
        <x:v>     </x:v>
      </x:c>
      <x:c r="D579" s="2"/>
      <x:c r="E579" s="8"/>
      <x:c r="F579" s="8"/>
    </x:row>
    <x:row r="580" ht="23" customHeight="1">
      <x:c r="A580" s="2" t="str">
        <x:v>Imports</x:v>
      </x:c>
      <x:c r="B580" s="2" t="n">
        <x:v>576</x:v>
      </x:c>
      <x:c r="C580" s="2" t="str">
        <x:v>     </x:v>
      </x:c>
      <x:c r="D580" s="2"/>
      <x:c r="E580" s="8"/>
      <x:c r="F580" s="8"/>
    </x:row>
    <x:row r="581" ht="23" customHeight="1">
      <x:c r="A581" s="2" t="str">
        <x:v>Imports</x:v>
      </x:c>
      <x:c r="B581" s="2" t="n">
        <x:v>577</x:v>
      </x:c>
      <x:c r="C581" s="2" t="str">
        <x:v>70. SPICES -     </x:v>
      </x:c>
      <x:c r="D581" s="2"/>
      <x:c r="E581" s="8"/>
      <x:c r="F581" s="8"/>
    </x:row>
    <x:row r="582" ht="23" customHeight="1">
      <x:c r="A582" s="2" t="str">
        <x:v>Imports</x:v>
      </x:c>
      <x:c r="B582" s="2" t="n">
        <x:v>578</x:v>
      </x:c>
      <x:c r="C582" s="2" t="str">
        <x:v>Ginger ----     </x:v>
      </x:c>
      <x:c r="D582" s="2" t="str">
        <x:v>"</x:v>
      </x:c>
      <x:c r="E582" s="8" t="n">
        <x:v>1467</x:v>
      </x:c>
      <x:c r="F582" s="8" t="n">
        <x:v>2200</x:v>
      </x:c>
    </x:row>
    <x:row r="583" ht="23" customHeight="1">
      <x:c r="A583" s="2" t="str">
        <x:v>Imports</x:v>
      </x:c>
      <x:c r="B583" s="2" t="n">
        <x:v>579</x:v>
      </x:c>
      <x:c r="C583" s="2" t="str">
        <x:v>Mustard ----     </x:v>
      </x:c>
      <x:c r="D583" s="2" t="str">
        <x:v>lbs.</x:v>
      </x:c>
      <x:c r="E583" s="8" t="n">
        <x:v>314944</x:v>
      </x:c>
      <x:c r="F583" s="8" t="n">
        <x:v>7874</x:v>
      </x:c>
    </x:row>
    <x:row r="584" ht="23" customHeight="1">
      <x:c r="A584" s="2" t="str">
        <x:v>Imports</x:v>
      </x:c>
      <x:c r="B584" s="2" t="n">
        <x:v>580</x:v>
      </x:c>
      <x:c r="C584" s="2" t="str">
        <x:v>Pepper ----     </x:v>
      </x:c>
      <x:c r="D584" s="2" t="str">
        <x:v>"</x:v>
      </x:c>
      <x:c r="E584" s="8" t="n">
        <x:v>237440</x:v>
      </x:c>
      <x:c r="F584" s="8" t="n">
        <x:v>6925</x:v>
      </x:c>
    </x:row>
    <x:row r="585" ht="23" customHeight="1">
      <x:c r="A585" s="2" t="str">
        <x:v>Imports</x:v>
      </x:c>
      <x:c r="B585" s="2" t="n">
        <x:v>581</x:v>
      </x:c>
      <x:c r="C585" s="2" t="str">
        <x:v>Spices,unclassified ----     </x:v>
      </x:c>
      <x:c r="D585" s="2" t="str">
        <x:v>"</x:v>
      </x:c>
      <x:c r="E585" s="8" t="n">
        <x:v>96320</x:v>
      </x:c>
      <x:c r="F585" s="8" t="n">
        <x:v>2602</x:v>
      </x:c>
    </x:row>
    <x:row r="586" ht="23" customHeight="1">
      <x:c r="A586" s="2" t="str">
        <x:v>Imports</x:v>
      </x:c>
      <x:c r="B586" s="2" t="n">
        <x:v>582</x:v>
      </x:c>
      <x:c r="C586" s="2" t="str">
        <x:v>     </x:v>
      </x:c>
      <x:c r="D586" s="2"/>
      <x:c r="E586" s="8"/>
      <x:c r="F586" s="8"/>
    </x:row>
    <x:row r="587" ht="23" customHeight="1">
      <x:c r="A587" s="2" t="str">
        <x:v>Imports</x:v>
      </x:c>
      <x:c r="B587" s="2" t="n">
        <x:v>583</x:v>
      </x:c>
      <x:c r="C587" s="2" t="str">
        <x:v>     </x:v>
      </x:c>
      <x:c r="D587" s="2"/>
      <x:c r="E587" s="8"/>
      <x:c r="F587" s="8"/>
    </x:row>
    <x:row r="588" ht="23" customHeight="1">
      <x:c r="A588" s="2" t="str">
        <x:v>Imports</x:v>
      </x:c>
      <x:c r="B588" s="2" t="n">
        <x:v>584</x:v>
      </x:c>
      <x:c r="C588" s="2" t="str">
        <x:v>     </x:v>
      </x:c>
      <x:c r="D588" s="2"/>
      <x:c r="E588" s="8"/>
      <x:c r="F588" s="8"/>
    </x:row>
    <x:row r="589" ht="23" customHeight="1">
      <x:c r="A589" s="2" t="str">
        <x:v>Imports</x:v>
      </x:c>
      <x:c r="B589" s="2" t="n">
        <x:v>585</x:v>
      </x:c>
      <x:c r="C589" s="2" t="str">
        <x:v>71. SPONGES ----     </x:v>
      </x:c>
      <x:c r="D589" s="2" t="str">
        <x:v>"</x:v>
      </x:c>
      <x:c r="E589" s="8" t="n">
        <x:v>57232</x:v>
      </x:c>
      <x:c r="F589" s="8" t="n">
        <x:v>10016</x:v>
      </x:c>
    </x:row>
    <x:row r="590" ht="23" customHeight="1">
      <x:c r="A590" s="2" t="str">
        <x:v>Imports</x:v>
      </x:c>
      <x:c r="B590" s="2" t="n">
        <x:v>586</x:v>
      </x:c>
      <x:c r="C590" s="2" t="str">
        <x:v>     </x:v>
      </x:c>
      <x:c r="D590" s="2"/>
      <x:c r="E590" s="8"/>
      <x:c r="F590" s="8"/>
    </x:row>
    <x:row r="591" ht="23" customHeight="1">
      <x:c r="A591" s="2" t="str">
        <x:v>Imports</x:v>
      </x:c>
      <x:c r="B591" s="2" t="n">
        <x:v>587</x:v>
      </x:c>
      <x:c r="C591" s="2" t="str">
        <x:v>     </x:v>
      </x:c>
      <x:c r="D591" s="2"/>
      <x:c r="E591" s="8"/>
      <x:c r="F591" s="8"/>
    </x:row>
    <x:row r="592" ht="23" customHeight="1">
      <x:c r="A592" s="2" t="str">
        <x:v>Imports</x:v>
      </x:c>
      <x:c r="B592" s="2" t="n">
        <x:v>588</x:v>
      </x:c>
      <x:c r="C592" s="2" t="str">
        <x:v>     </x:v>
      </x:c>
      <x:c r="D592" s="2"/>
      <x:c r="E592" s="8"/>
      <x:c r="F592" s="8"/>
    </x:row>
    <x:row r="593" ht="23" customHeight="1">
      <x:c r="A593" s="2" t="str">
        <x:v>Imports</x:v>
      </x:c>
      <x:c r="B593" s="2" t="n">
        <x:v>589</x:v>
      </x:c>
      <x:c r="C593" s="2" t="str">
        <x:v>72. STARCH ----     </x:v>
      </x:c>
      <x:c r="D593" s="2" t="str">
        <x:v>cwts.</x:v>
      </x:c>
      <x:c r="E593" s="8" t="n">
        <x:v>61084</x:v>
      </x:c>
      <x:c r="F593" s="8" t="n">
        <x:v>47340</x:v>
      </x:c>
    </x:row>
    <x:row r="594" ht="23" customHeight="1">
      <x:c r="A594" s="2" t="str">
        <x:v>Imports</x:v>
      </x:c>
      <x:c r="B594" s="2" t="n">
        <x:v>590</x:v>
      </x:c>
      <x:c r="C594" s="2" t="str">
        <x:v>     </x:v>
      </x:c>
      <x:c r="D594" s="2"/>
      <x:c r="E594" s="8"/>
      <x:c r="F594" s="8"/>
    </x:row>
    <x:row r="595" ht="23" customHeight="1">
      <x:c r="A595" s="2" t="str">
        <x:v>Imports</x:v>
      </x:c>
      <x:c r="B595" s="2" t="n">
        <x:v>591</x:v>
      </x:c>
      <x:c r="C595" s="2" t="str">
        <x:v>     </x:v>
      </x:c>
      <x:c r="D595" s="2"/>
      <x:c r="E595" s="8"/>
      <x:c r="F595" s="8"/>
    </x:row>
    <x:row r="596" ht="23" customHeight="1">
      <x:c r="A596" s="2" t="str">
        <x:v>Imports</x:v>
      </x:c>
      <x:c r="B596" s="2" t="n">
        <x:v>592</x:v>
      </x:c>
      <x:c r="C596" s="2" t="str">
        <x:v>     </x:v>
      </x:c>
      <x:c r="D596" s="2"/>
      <x:c r="E596" s="8"/>
      <x:c r="F596" s="8"/>
    </x:row>
    <x:row r="597" ht="23" customHeight="1">
      <x:c r="A597" s="2" t="str">
        <x:v>Imports</x:v>
      </x:c>
      <x:c r="B597" s="2" t="n">
        <x:v>593</x:v>
      </x:c>
      <x:c r="C597" s="2" t="str">
        <x:v>73. STONES -     </x:v>
      </x:c>
      <x:c r="D597" s="2"/>
      <x:c r="E597" s="8"/>
      <x:c r="F597" s="8"/>
    </x:row>
    <x:row r="598" ht="23" customHeight="1">
      <x:c r="A598" s="2" t="str">
        <x:v>Imports</x:v>
      </x:c>
      <x:c r="B598" s="2" t="n">
        <x:v>594</x:v>
      </x:c>
      <x:c r="C598" s="2" t="str">
        <x:v>Stones,Freestone, and Limestone ----     </x:v>
      </x:c>
      <x:c r="D598" s="2" t="str">
        <x:v>tons.</x:v>
      </x:c>
      <x:c r="E598" s="8" t="n">
        <x:v>9441</x:v>
      </x:c>
      <x:c r="F598" s="8" t="n">
        <x:v>9441</x:v>
      </x:c>
    </x:row>
    <x:row r="599" ht="23" customHeight="1">
      <x:c r="A599" s="2" t="str">
        <x:v>Imports</x:v>
      </x:c>
      <x:c r="B599" s="2" t="n">
        <x:v>595</x:v>
      </x:c>
      <x:c r="C599" s="2" t="str">
        <x:v>Marble ----     </x:v>
      </x:c>
      <x:c r="D599" s="2" t="str">
        <x:v>"</x:v>
      </x:c>
      <x:c r="E599" s="8" t="n">
        <x:v>1059</x:v>
      </x:c>
      <x:c r="F599" s="8" t="n">
        <x:v>6354</x:v>
      </x:c>
    </x:row>
    <x:row r="600" ht="23" customHeight="1">
      <x:c r="A600" s="2" t="str">
        <x:v>Imports</x:v>
      </x:c>
      <x:c r="B600" s="2" t="n">
        <x:v>596</x:v>
      </x:c>
      <x:c r="C600" s="2" t="str">
        <x:v>Marble Chimney Pieces ----     </x:v>
      </x:c>
      <x:c r="D600" s="2" t="str">
        <x:v>cwts.</x:v>
      </x:c>
      <x:c r="E600" s="8" t="n">
        <x:v>4821</x:v>
      </x:c>
      <x:c r="F600" s="8" t="n">
        <x:v>7232</x:v>
      </x:c>
    </x:row>
    <x:row r="601" ht="23" customHeight="1">
      <x:c r="A601" s="2" t="str">
        <x:v>Imports</x:v>
      </x:c>
      <x:c r="B601" s="2" t="n">
        <x:v>597</x:v>
      </x:c>
      <x:c r="C601" s="2" t="str">
        <x:v>Figures ----     </x:v>
      </x:c>
      <x:c r="D601" s="2" t="str">
        <x:v>"</x:v>
      </x:c>
      <x:c r="E601" s="8" t="n">
        <x:v>526</x:v>
      </x:c>
      <x:c r="F601" s="8" t="n">
        <x:v>4734</x:v>
      </x:c>
    </x:row>
    <x:row r="602" ht="23" customHeight="1">
      <x:c r="A602" s="2" t="str">
        <x:v>Imports</x:v>
      </x:c>
      <x:c r="B602" s="2" t="n">
        <x:v>598</x:v>
      </x:c>
      <x:c r="C602" s="2" t="str">
        <x:v>Granite ----     </x:v>
      </x:c>
      <x:c r="D602" s="2" t="str">
        <x:v>tons.</x:v>
      </x:c>
      <x:c r="E602" s="8" t="n">
        <x:v>714</x:v>
      </x:c>
      <x:c r="F602" s="8" t="n">
        <x:v>8568</x:v>
      </x:c>
    </x:row>
    <x:row r="603" ht="23" customHeight="1">
      <x:c r="A603" s="2" t="str">
        <x:v>Imports</x:v>
      </x:c>
      <x:c r="B603" s="2" t="n">
        <x:v>599</x:v>
      </x:c>
      <x:c r="C603" s="2" t="str">
        <x:v>Setts and Blocks ----     </x:v>
      </x:c>
      <x:c r="D603" s="2" t="str">
        <x:v>"</x:v>
      </x:c>
      <x:c r="E603" s="8" t="n">
        <x:v>5309</x:v>
      </x:c>
      <x:c r="F603" s="8" t="n">
        <x:v>6371</x:v>
      </x:c>
    </x:row>
    <x:row r="604" ht="23" customHeight="1">
      <x:c r="A604" s="2" t="str">
        <x:v>Imports</x:v>
      </x:c>
      <x:c r="B604" s="2" t="n">
        <x:v>600</x:v>
      </x:c>
      <x:c r="C604" s="2" t="str">
        <x:v>Flags ----     </x:v>
      </x:c>
      <x:c r="D604" s="2" t="str">
        <x:v>"</x:v>
      </x:c>
      <x:c r="E604" s="8" t="n">
        <x:v>1452</x:v>
      </x:c>
      <x:c r="F604" s="8" t="n">
        <x:v>726</x:v>
      </x:c>
    </x:row>
    <x:row r="605" ht="23" customHeight="1">
      <x:c r="A605" s="2" t="str">
        <x:v>Imports</x:v>
      </x:c>
      <x:c r="B605" s="2" t="n">
        <x:v>601</x:v>
      </x:c>
      <x:c r="C605" s="2" t="str">
        <x:v>-     </x:v>
      </x:c>
      <x:c r="D605" s="2" t="str">
        <x:v>-</x:v>
      </x:c>
      <x:c r="E605" s="8" t="str">
        <x:v>-</x:v>
      </x:c>
      <x:c r="F605" s="8" t="str">
        <x:v>-</x:v>
      </x:c>
    </x:row>
    <x:row r="606" ht="23" customHeight="1">
      <x:c r="A606" s="2" t="str">
        <x:v>Imports</x:v>
      </x:c>
      <x:c r="B606" s="2" t="n">
        <x:v>602</x:v>
      </x:c>
      <x:c r="C606" s="2" t="str">
        <x:v>Lithographic Stones ----     </x:v>
      </x:c>
      <x:c r="D606" s="2" t="str">
        <x:v>"</x:v>
      </x:c>
      <x:c r="E606" s="8" t="n">
        <x:v>96</x:v>
      </x:c>
      <x:c r="F606" s="8" t="n">
        <x:v>2464</x:v>
      </x:c>
    </x:row>
    <x:row r="607" ht="23" customHeight="1">
      <x:c r="A607" s="2" t="str">
        <x:v>Imports</x:v>
      </x:c>
      <x:c r="B607" s="2" t="n">
        <x:v>603</x:v>
      </x:c>
      <x:c r="C607" s="2" t="str">
        <x:v>Slates ----     </x:v>
      </x:c>
      <x:c r="D607" s="2" t="str">
        <x:v>"</x:v>
      </x:c>
      <x:c r="E607" s="8" t="n">
        <x:v>25096</x:v>
      </x:c>
      <x:c r="F607" s="8" t="n">
        <x:v>106658</x:v>
      </x:c>
    </x:row>
    <x:row r="608" ht="23" customHeight="1">
      <x:c r="A608" s="2" t="str">
        <x:v>Imports</x:v>
      </x:c>
      <x:c r="B608" s="2" t="n">
        <x:v>604</x:v>
      </x:c>
      <x:c r="C608" s="2" t="str">
        <x:v>Slate Slabs ----     </x:v>
      </x:c>
      <x:c r="D608" s="2" t="str">
        <x:v>"</x:v>
      </x:c>
      <x:c r="E608" s="8" t="n">
        <x:v>275</x:v>
      </x:c>
      <x:c r="F608" s="8" t="n">
        <x:v>1169</x:v>
      </x:c>
    </x:row>
    <x:row r="609" ht="23" customHeight="1">
      <x:c r="A609" s="2" t="str">
        <x:v>Imports</x:v>
      </x:c>
      <x:c r="B609" s="2" t="n">
        <x:v>605</x:v>
      </x:c>
      <x:c r="C609" s="2" t="str">
        <x:v>Slates, Writing ----     </x:v>
      </x:c>
      <x:c r="D609" s="2" t="str">
        <x:v>cwts.</x:v>
      </x:c>
      <x:c r="E609" s="8" t="n">
        <x:v>725</x:v>
      </x:c>
      <x:c r="F609" s="8" t="n">
        <x:v>311</x:v>
      </x:c>
    </x:row>
    <x:row r="610" ht="23" customHeight="1">
      <x:c r="A610" s="2" t="str">
        <x:v>Imports</x:v>
      </x:c>
      <x:c r="B610" s="2" t="n">
        <x:v>606</x:v>
      </x:c>
      <x:c r="C610" s="2" t="str">
        <x:v>Slate Chimney Pieces ----     </x:v>
      </x:c>
      <x:c r="D610" s="2" t="str">
        <x:v>"</x:v>
      </x:c>
      <x:c r="E610" s="8" t="n">
        <x:v>5345</x:v>
      </x:c>
      <x:c r="F610" s="8" t="n">
        <x:v>4677</x:v>
      </x:c>
    </x:row>
    <x:row r="611" ht="23" customHeight="1">
      <x:c r="A611" s="2" t="str">
        <x:v>Imports</x:v>
      </x:c>
      <x:c r="B611" s="2" t="n">
        <x:v>607</x:v>
      </x:c>
      <x:c r="C611" s="2" t="str">
        <x:v>Gannister ----     </x:v>
      </x:c>
      <x:c r="D611" s="2" t="str">
        <x:v>tons.</x:v>
      </x:c>
      <x:c r="E611" s="8" t="n">
        <x:v>388</x:v>
      </x:c>
      <x:c r="F611" s="8" t="n">
        <x:v>359</x:v>
      </x:c>
    </x:row>
    <x:row r="612" ht="23" customHeight="1">
      <x:c r="A612" s="2" t="str">
        <x:v>Imports</x:v>
      </x:c>
      <x:c r="B612" s="2" t="n">
        <x:v>608</x:v>
      </x:c>
      <x:c r="C612" s="2" t="str">
        <x:v>Alabaster ----     </x:v>
      </x:c>
      <x:c r="D612" s="2" t="str">
        <x:v>cwts.</x:v>
      </x:c>
      <x:c r="E612" s="8" t="n">
        <x:v>30596</x:v>
      </x:c>
      <x:c r="F612" s="8" t="n">
        <x:v>2677</x:v>
      </x:c>
    </x:row>
    <x:row r="613" ht="23" customHeight="1">
      <x:c r="A613" s="2" t="str">
        <x:v>Imports</x:v>
      </x:c>
      <x:c r="B613" s="2" t="n">
        <x:v>609</x:v>
      </x:c>
      <x:c r="C613" s="2" t="str">
        <x:v>Gypsum (plaster of paris) ----     </x:v>
      </x:c>
      <x:c r="D613" s="2" t="str">
        <x:v>tons.</x:v>
      </x:c>
      <x:c r="E613" s="8" t="n">
        <x:v>4834</x:v>
      </x:c>
      <x:c r="F613" s="8" t="n">
        <x:v>7251</x:v>
      </x:c>
    </x:row>
    <x:row r="614" ht="23" customHeight="1">
      <x:c r="A614" s="2" t="str">
        <x:v>Imports</x:v>
      </x:c>
      <x:c r="B614" s="2" t="n">
        <x:v>610</x:v>
      </x:c>
      <x:c r="C614" s="2" t="str">
        <x:v>Chalk and Whiting ----     </x:v>
      </x:c>
      <x:c r="D614" s="2" t="str">
        <x:v>cwts.</x:v>
      </x:c>
      <x:c r="E614" s="8" t="n">
        <x:v>15519</x:v>
      </x:c>
      <x:c r="F614" s="8" t="n">
        <x:v>582</x:v>
      </x:c>
    </x:row>
    <x:row r="615" ht="23" customHeight="1">
      <x:c r="A615" s="2" t="str">
        <x:v>Imports</x:v>
      </x:c>
      <x:c r="B615" s="2" t="n">
        <x:v>611</x:v>
      </x:c>
      <x:c r="C615" s="2" t="str">
        <x:v>Bauxite ----     </x:v>
      </x:c>
      <x:c r="D615" s="2" t="str">
        <x:v>"</x:v>
      </x:c>
      <x:c r="E615" s="8" t="n">
        <x:v>108827</x:v>
      </x:c>
      <x:c r="F615" s="8" t="n">
        <x:v>3158</x:v>
      </x:c>
    </x:row>
    <x:row r="616" ht="23" customHeight="1">
      <x:c r="A616" s="2" t="str">
        <x:v>Imports</x:v>
      </x:c>
      <x:c r="B616" s="2" t="n">
        <x:v>612</x:v>
      </x:c>
      <x:c r="C616" s="2" t="str">
        <x:v>     </x:v>
      </x:c>
      <x:c r="D616" s="2"/>
      <x:c r="E616" s="8"/>
      <x:c r="F616" s="8"/>
    </x:row>
    <x:row r="617" ht="23" customHeight="1">
      <x:c r="A617" s="2" t="str">
        <x:v>Imports</x:v>
      </x:c>
      <x:c r="B617" s="2" t="n">
        <x:v>613</x:v>
      </x:c>
      <x:c r="C617" s="2" t="str">
        <x:v>     </x:v>
      </x:c>
      <x:c r="D617" s="2"/>
      <x:c r="E617" s="8"/>
      <x:c r="F617" s="8"/>
    </x:row>
    <x:row r="618" ht="23" customHeight="1">
      <x:c r="A618" s="2" t="str">
        <x:v>Imports</x:v>
      </x:c>
      <x:c r="B618" s="2" t="n">
        <x:v>614</x:v>
      </x:c>
      <x:c r="C618" s="2" t="str">
        <x:v>     </x:v>
      </x:c>
      <x:c r="D618" s="2"/>
      <x:c r="E618" s="8"/>
      <x:c r="F618" s="8"/>
    </x:row>
    <x:row r="619" ht="23" customHeight="1">
      <x:c r="A619" s="2" t="str">
        <x:v>Imports</x:v>
      </x:c>
      <x:c r="B619" s="2" t="n">
        <x:v>615</x:v>
      </x:c>
      <x:c r="C619" s="2" t="str">
        <x:v>74. SUGAR and MANUFACTURES thereof -     </x:v>
      </x:c>
      <x:c r="D619" s="2"/>
      <x:c r="E619" s="8"/>
      <x:c r="F619" s="8"/>
    </x:row>
    <x:row r="620" ht="23" customHeight="1">
      <x:c r="A620" s="2" t="str">
        <x:v>Imports</x:v>
      </x:c>
      <x:c r="B620" s="2" t="n">
        <x:v>616</x:v>
      </x:c>
      <x:c r="C620" s="2" t="str">
        <x:v>Sugar ----     </x:v>
      </x:c>
      <x:c r="D620" s="2" t="str">
        <x:v>"</x:v>
      </x:c>
      <x:c r="E620" s="8" t="n">
        <x:v>2705049</x:v>
      </x:c>
      <x:c r="F620" s="8" t="n">
        <x:v>1623029</x:v>
      </x:c>
    </x:row>
    <x:row r="621" ht="23" customHeight="1">
      <x:c r="A621" s="2" t="str">
        <x:v>Imports</x:v>
      </x:c>
      <x:c r="B621" s="2" t="n">
        <x:v>617</x:v>
      </x:c>
      <x:c r="C621" s="2" t="str">
        <x:v>Confectionery ----     </x:v>
      </x:c>
      <x:c r="D621" s="2" t="str">
        <x:v>"</x:v>
      </x:c>
      <x:c r="E621" s="8" t="n">
        <x:v>103904</x:v>
      </x:c>
      <x:c r="F621" s="8" t="n">
        <x:v>207808</x:v>
      </x:c>
    </x:row>
    <x:row r="622" ht="23" customHeight="1">
      <x:c r="A622" s="2" t="str">
        <x:v>Imports</x:v>
      </x:c>
      <x:c r="B622" s="2" t="n">
        <x:v>618</x:v>
      </x:c>
      <x:c r="C622" s="2" t="str">
        <x:v>Glucose ----     </x:v>
      </x:c>
      <x:c r="D622" s="2" t="str">
        <x:v>"</x:v>
      </x:c>
      <x:c r="E622" s="8" t="n">
        <x:v>40628</x:v>
      </x:c>
      <x:c r="F622" s="8" t="n">
        <x:v>20314</x:v>
      </x:c>
    </x:row>
    <x:row r="623" ht="23" customHeight="1">
      <x:c r="A623" s="2" t="str">
        <x:v>Imports</x:v>
      </x:c>
      <x:c r="B623" s="2" t="n">
        <x:v>619</x:v>
      </x:c>
      <x:c r="C623" s="2" t="str">
        <x:v>Molasses ----     </x:v>
      </x:c>
      <x:c r="D623" s="2" t="str">
        <x:v>"</x:v>
      </x:c>
      <x:c r="E623" s="8" t="n">
        <x:v>4619</x:v>
      </x:c>
      <x:c r="F623" s="8" t="n">
        <x:v>866</x:v>
      </x:c>
    </x:row>
    <x:row r="624" ht="23" customHeight="1">
      <x:c r="A624" s="2" t="str">
        <x:v>Imports</x:v>
      </x:c>
      <x:c r="B624" s="2" t="n">
        <x:v>620</x:v>
      </x:c>
      <x:c r="C624" s="2" t="str">
        <x:v>Syrup and Treacle ----     </x:v>
      </x:c>
      <x:c r="D624" s="2" t="str">
        <x:v>"</x:v>
      </x:c>
      <x:c r="E624" s="8" t="n">
        <x:v>33491</x:v>
      </x:c>
      <x:c r="F624" s="8" t="n">
        <x:v>25118</x:v>
      </x:c>
    </x:row>
    <x:row r="625" ht="23" customHeight="1">
      <x:c r="A625" s="2" t="str">
        <x:v>Imports</x:v>
      </x:c>
      <x:c r="B625" s="2" t="n">
        <x:v>621</x:v>
      </x:c>
      <x:c r="C625" s="2" t="str">
        <x:v>     </x:v>
      </x:c>
      <x:c r="D625" s="2"/>
      <x:c r="E625" s="8"/>
      <x:c r="F625" s="8"/>
    </x:row>
    <x:row r="626" ht="23" customHeight="1">
      <x:c r="A626" s="2" t="str">
        <x:v>Imports</x:v>
      </x:c>
      <x:c r="B626" s="2" t="n">
        <x:v>622</x:v>
      </x:c>
      <x:c r="C626" s="2" t="str">
        <x:v>     </x:v>
      </x:c>
      <x:c r="D626" s="2"/>
      <x:c r="E626" s="8"/>
      <x:c r="F626" s="8"/>
    </x:row>
    <x:row r="627" ht="23" customHeight="1">
      <x:c r="A627" s="2" t="str">
        <x:v>Imports</x:v>
      </x:c>
      <x:c r="B627" s="2" t="n">
        <x:v>623</x:v>
      </x:c>
      <x:c r="C627" s="2" t="str">
        <x:v>     </x:v>
      </x:c>
      <x:c r="D627" s="2"/>
      <x:c r="E627" s="8"/>
      <x:c r="F627" s="8"/>
    </x:row>
    <x:row r="628" ht="23" customHeight="1">
      <x:c r="A628" s="2" t="str">
        <x:v>Imports</x:v>
      </x:c>
      <x:c r="B628" s="2" t="n">
        <x:v>624</x:v>
      </x:c>
      <x:c r="C628" s="2" t="str">
        <x:v>75. TAR and PITCH ----     </x:v>
      </x:c>
      <x:c r="D628" s="2" t="str">
        <x:v>cwts.</x:v>
      </x:c>
      <x:c r="E628" s="8" t="n">
        <x:v>195442</x:v>
      </x:c>
      <x:c r="F628" s="8" t="n">
        <x:v>58633</x:v>
      </x:c>
    </x:row>
    <x:row r="629" ht="23" customHeight="1">
      <x:c r="A629" s="2" t="str">
        <x:v>Imports</x:v>
      </x:c>
      <x:c r="B629" s="2" t="n">
        <x:v>625</x:v>
      </x:c>
      <x:c r="C629" s="2" t="str">
        <x:v>     </x:v>
      </x:c>
      <x:c r="D629" s="2"/>
      <x:c r="E629" s="8"/>
      <x:c r="F629" s="8"/>
    </x:row>
    <x:row r="630" ht="23" customHeight="1">
      <x:c r="A630" s="2" t="str">
        <x:v>Imports</x:v>
      </x:c>
      <x:c r="B630" s="2" t="n">
        <x:v>626</x:v>
      </x:c>
      <x:c r="C630" s="2" t="str">
        <x:v>     </x:v>
      </x:c>
      <x:c r="D630" s="2"/>
      <x:c r="E630" s="8"/>
      <x:c r="F630" s="8"/>
    </x:row>
    <x:row r="631" ht="23" customHeight="1">
      <x:c r="A631" s="2" t="str">
        <x:v>Imports</x:v>
      </x:c>
      <x:c r="B631" s="2" t="n">
        <x:v>627</x:v>
      </x:c>
      <x:c r="C631" s="2" t="str">
        <x:v>     </x:v>
      </x:c>
      <x:c r="D631" s="2"/>
      <x:c r="E631" s="8"/>
      <x:c r="F631" s="8"/>
    </x:row>
    <x:row r="632" ht="23" customHeight="1">
      <x:c r="A632" s="2" t="str">
        <x:v>Imports</x:v>
      </x:c>
      <x:c r="B632" s="2" t="n">
        <x:v>628</x:v>
      </x:c>
      <x:c r="C632" s="2" t="str">
        <x:v>76. TEA ----     </x:v>
      </x:c>
      <x:c r="D632" s="2" t="str">
        <x:v>lbs.</x:v>
      </x:c>
      <x:c r="E632" s="8" t="n">
        <x:v>30366112</x:v>
      </x:c>
      <x:c r="F632" s="8" t="n">
        <x:v>1083058</x:v>
      </x:c>
    </x:row>
    <x:row r="633" ht="23" customHeight="1">
      <x:c r="A633" s="2" t="str">
        <x:v>Imports</x:v>
      </x:c>
      <x:c r="B633" s="2" t="n">
        <x:v>629</x:v>
      </x:c>
      <x:c r="C633" s="2" t="str">
        <x:v>     </x:v>
      </x:c>
      <x:c r="D633" s="2"/>
      <x:c r="E633" s="8"/>
      <x:c r="F633" s="8"/>
    </x:row>
    <x:row r="634" ht="23" customHeight="1">
      <x:c r="A634" s="2" t="str">
        <x:v>Imports</x:v>
      </x:c>
      <x:c r="B634" s="2" t="n">
        <x:v>630</x:v>
      </x:c>
      <x:c r="C634" s="2" t="str">
        <x:v>     </x:v>
      </x:c>
      <x:c r="D634" s="2"/>
      <x:c r="E634" s="8"/>
      <x:c r="F634" s="8"/>
    </x:row>
    <x:row r="635" ht="23" customHeight="1">
      <x:c r="A635" s="2" t="str">
        <x:v>Imports</x:v>
      </x:c>
      <x:c r="B635" s="2" t="n">
        <x:v>631</x:v>
      </x:c>
      <x:c r="C635" s="2" t="str">
        <x:v>     </x:v>
      </x:c>
      <x:c r="D635" s="2"/>
      <x:c r="E635" s="8"/>
      <x:c r="F635" s="8"/>
    </x:row>
    <x:row r="636" ht="23" customHeight="1">
      <x:c r="A636" s="2" t="str">
        <x:v>Imports</x:v>
      </x:c>
      <x:c r="B636" s="2" t="n">
        <x:v>632</x:v>
      </x:c>
      <x:c r="C636" s="2" t="str">
        <x:v>77. TEXTILES and TEXTILE MATERIALS ----     </x:v>
      </x:c>
      <x:c r="D636" s="2"/>
      <x:c r="E636" s="8"/>
      <x:c r="F636" s="8"/>
    </x:row>
    <x:row r="637" ht="23" customHeight="1">
      <x:c r="A637" s="2" t="str">
        <x:v>Imports</x:v>
      </x:c>
      <x:c r="B637" s="2" t="n">
        <x:v>633</x:v>
      </x:c>
      <x:c r="C637" s="2" t="str">
        <x:v>Cotton,Raw ----     </x:v>
      </x:c>
      <x:c r="D637" s="2" t="str">
        <x:v>cwts.</x:v>
      </x:c>
      <x:c r="E637" s="8" t="n">
        <x:v>461775</x:v>
      </x:c>
      <x:c r="F637" s="8" t="n">
        <x:v>1454528</x:v>
      </x:c>
    </x:row>
    <x:row r="638" ht="23" customHeight="1">
      <x:c r="A638" s="2" t="str">
        <x:v>Imports</x:v>
      </x:c>
      <x:c r="B638" s="2" t="n">
        <x:v>634</x:v>
      </x:c>
      <x:c r="C638" s="2" t="str">
        <x:v>Cotton Yarn ----     </x:v>
      </x:c>
      <x:c r="D638" s="2" t="str">
        <x:v>lbs.</x:v>
      </x:c>
      <x:c r="E638" s="8" t="n">
        <x:v>14031472</x:v>
      </x:c>
      <x:c r="F638" s="8" t="n">
        <x:v>643109</x:v>
      </x:c>
    </x:row>
    <x:row r="639" ht="23" customHeight="1">
      <x:c r="A639" s="2" t="str">
        <x:v>Imports</x:v>
      </x:c>
      <x:c r="B639" s="2" t="n">
        <x:v>635</x:v>
      </x:c>
      <x:c r="C639" s="2" t="str">
        <x:v>Cotton Wool ----     </x:v>
      </x:c>
      <x:c r="D639" s="2" t="str">
        <x:v>cwts.</x:v>
      </x:c>
      <x:c r="E639" s="8" t="n">
        <x:v>2677</x:v>
      </x:c>
      <x:c r="F639" s="8" t="n">
        <x:v>8031</x:v>
      </x:c>
    </x:row>
    <x:row r="640" ht="23" customHeight="1">
      <x:c r="A640" s="2" t="str">
        <x:v>Imports</x:v>
      </x:c>
      <x:c r="B640" s="2" t="n">
        <x:v>636</x:v>
      </x:c>
      <x:c r="C640" s="2" t="str">
        <x:v>Cotton Goods ----     </x:v>
      </x:c>
      <x:c r="D640" s="2" t="str">
        <x:v>"</x:v>
      </x:c>
      <x:c r="E640" s="8" t="n">
        <x:v>314651</x:v>
      </x:c>
      <x:c r="F640" s="8" t="n">
        <x:v>2202557</x:v>
      </x:c>
    </x:row>
    <x:row r="641" ht="23" customHeight="1">
      <x:c r="A641" s="2" t="str">
        <x:v>Imports</x:v>
      </x:c>
      <x:c r="B641" s="2" t="n">
        <x:v>637</x:v>
      </x:c>
      <x:c r="C641" s="2" t="str">
        <x:v>Flax ----     </x:v>
      </x:c>
      <x:c r="D641" s="2" t="str">
        <x:v>tons.</x:v>
      </x:c>
      <x:c r="E641" s="8" t="n">
        <x:v>27909</x:v>
      </x:c>
      <x:c r="F641" s="8" t="n">
        <x:v>1548950</x:v>
      </x:c>
    </x:row>
    <x:row r="642" ht="23" customHeight="1">
      <x:c r="A642" s="2" t="str">
        <x:v>Imports</x:v>
      </x:c>
      <x:c r="B642" s="2" t="n">
        <x:v>638</x:v>
      </x:c>
      <x:c r="C642" s="2" t="str">
        <x:v>Linen Yarn ----     </x:v>
      </x:c>
      <x:c r="D642" s="2" t="str">
        <x:v>lbs.</x:v>
      </x:c>
      <x:c r="E642" s="8" t="n">
        <x:v>10522400</x:v>
      </x:c>
      <x:c r="F642" s="8" t="n">
        <x:v>372688</x:v>
      </x:c>
    </x:row>
    <x:row r="643" ht="23" customHeight="1">
      <x:c r="A643" s="2" t="str">
        <x:v>Imports</x:v>
      </x:c>
      <x:c r="B643" s="2" t="n">
        <x:v>639</x:v>
      </x:c>
      <x:c r="C643" s="2" t="str">
        <x:v>Linen Goods ----     </x:v>
      </x:c>
      <x:c r="D643" s="2" t="str">
        <x:v>cwts.</x:v>
      </x:c>
      <x:c r="E643" s="8" t="n">
        <x:v>96436</x:v>
      </x:c>
      <x:c r="F643" s="8" t="n">
        <x:v>732270</x:v>
      </x:c>
    </x:row>
    <x:row r="644" ht="23" customHeight="1">
      <x:c r="A644" s="2" t="str">
        <x:v>Imports</x:v>
      </x:c>
      <x:c r="B644" s="2" t="n">
        <x:v>640</x:v>
      </x:c>
      <x:c r="C644" s="2" t="str">
        <x:v>Jute ----     </x:v>
      </x:c>
      <x:c r="D644" s="2" t="str">
        <x:v>tons.</x:v>
      </x:c>
      <x:c r="E644" s="8" t="n">
        <x:v>4613</x:v>
      </x:c>
      <x:c r="F644" s="8" t="n">
        <x:v>64582</x:v>
      </x:c>
    </x:row>
    <x:row r="645" ht="23" customHeight="1">
      <x:c r="A645" s="2" t="str">
        <x:v>Imports</x:v>
      </x:c>
      <x:c r="B645" s="2" t="n">
        <x:v>641</x:v>
      </x:c>
      <x:c r="C645" s="2" t="str">
        <x:v>Jute Goods ----     </x:v>
      </x:c>
      <x:c r="D645" s="2" t="str">
        <x:v>cwts.</x:v>
      </x:c>
      <x:c r="E645" s="8" t="n">
        <x:v>67</x:v>
      </x:c>
      <x:c r="F645" s="8" t="n">
        <x:v>125</x:v>
      </x:c>
    </x:row>
    <x:row r="646" ht="23" customHeight="1">
      <x:c r="A646" s="2" t="str">
        <x:v>Imports</x:v>
      </x:c>
      <x:c r="B646" s="2" t="n">
        <x:v>642</x:v>
      </x:c>
      <x:c r="C646" s="2" t="str">
        <x:v>Jute Yarn ----     </x:v>
      </x:c>
      <x:c r="D646" s="2" t="str">
        <x:v>lbs.</x:v>
      </x:c>
      <x:c r="E646" s="8" t="n">
        <x:v>1547392</x:v>
      </x:c>
      <x:c r="F646" s="8" t="n">
        <x:v>25790</x:v>
      </x:c>
    </x:row>
    <x:row r="647" ht="23" customHeight="1">
      <x:c r="A647" s="2" t="str">
        <x:v>Imports</x:v>
      </x:c>
      <x:c r="B647" s="2" t="n">
        <x:v>643</x:v>
      </x:c>
      <x:c r="C647" s="2" t="str">
        <x:v>Hemp     </x:v>
      </x:c>
      <x:c r="D647" s="2" t="str">
        <x:v>tons.</x:v>
      </x:c>
      <x:c r="E647" s="8" t="n">
        <x:v>13489</x:v>
      </x:c>
      <x:c r="F647" s="8" t="n">
        <x:v>445140</x:v>
      </x:c>
    </x:row>
    <x:row r="648" ht="23" customHeight="1">
      <x:c r="A648" s="2" t="str">
        <x:v>Imports</x:v>
      </x:c>
      <x:c r="B648" s="2" t="n">
        <x:v>644</x:v>
      </x:c>
      <x:c r="C648" s="2" t="str">
        <x:v>Tow or Codilla ----     </x:v>
      </x:c>
      <x:c r="D648" s="2" t="str">
        <x:v>"</x:v>
      </x:c>
      <x:c r="E648" s="8" t="n">
        <x:v>5345</x:v>
      </x:c>
      <x:c r="F648" s="8" t="n">
        <x:v>117590</x:v>
      </x:c>
    </x:row>
    <x:row r="649" ht="23" customHeight="1">
      <x:c r="A649" s="2" t="str">
        <x:v>Imports</x:v>
      </x:c>
      <x:c r="B649" s="2" t="n">
        <x:v>645</x:v>
      </x:c>
      <x:c r="C649" s="2" t="str">
        <x:v>Rope,Cordage and Twine ----     </x:v>
      </x:c>
      <x:c r="D649" s="2" t="str">
        <x:v>cwts.</x:v>
      </x:c>
      <x:c r="E649" s="8" t="n">
        <x:v>33864</x:v>
      </x:c>
      <x:c r="F649" s="8" t="n">
        <x:v>42894</x:v>
      </x:c>
    </x:row>
    <x:row r="650" ht="23" customHeight="1">
      <x:c r="A650" s="2" t="str">
        <x:v>Imports</x:v>
      </x:c>
      <x:c r="B650" s="2" t="n">
        <x:v>646</x:v>
      </x:c>
      <x:c r="C650" s="2" t="str">
        <x:v>Oil Cloth ----     </x:v>
      </x:c>
      <x:c r="D650" s="2" t="str">
        <x:v>"</x:v>
      </x:c>
      <x:c r="E650" s="8" t="n">
        <x:v>33285</x:v>
      </x:c>
      <x:c r="F650" s="8" t="n">
        <x:v>58249</x:v>
      </x:c>
    </x:row>
    <x:row r="651" ht="23" customHeight="1">
      <x:c r="A651" s="2" t="str">
        <x:v>Imports</x:v>
      </x:c>
      <x:c r="B651" s="2" t="n">
        <x:v>647</x:v>
      </x:c>
      <x:c r="C651" s="2" t="str">
        <x:v>Bags and Bagging ----     </x:v>
      </x:c>
      <x:c r="D651" s="2" t="str">
        <x:v>"</x:v>
      </x:c>
      <x:c r="E651" s="8" t="n">
        <x:v>163979</x:v>
      </x:c>
      <x:c r="F651" s="8" t="n">
        <x:v>99481</x:v>
      </x:c>
    </x:row>
    <x:row r="652" ht="23" customHeight="1">
      <x:c r="A652" s="2" t="str">
        <x:v>Imports</x:v>
      </x:c>
      <x:c r="B652" s="2" t="n">
        <x:v>648</x:v>
      </x:c>
      <x:c r="C652" s="2" t="str">
        <x:v>Canvas Goods     </x:v>
      </x:c>
      <x:c r="D652" s="2" t="str">
        <x:v>"</x:v>
      </x:c>
      <x:c r="E652" s="8" t="n">
        <x:v>8953</x:v>
      </x:c>
      <x:c r="F652" s="8" t="n">
        <x:v>33425</x:v>
      </x:c>
    </x:row>
    <x:row r="653" ht="23" customHeight="1">
      <x:c r="A653" s="2" t="str">
        <x:v>Imports</x:v>
      </x:c>
      <x:c r="B653" s="2" t="n">
        <x:v>649</x:v>
      </x:c>
      <x:c r="C653" s="2" t="str">
        <x:v>Silk and Velvet ----     </x:v>
      </x:c>
      <x:c r="D653" s="2" t="str">
        <x:v>"</x:v>
      </x:c>
      <x:c r="E653" s="8" t="n">
        <x:v>1011</x:v>
      </x:c>
      <x:c r="F653" s="8" t="n">
        <x:v>141540</x:v>
      </x:c>
    </x:row>
    <x:row r="654" ht="23" customHeight="1">
      <x:c r="A654" s="2" t="str">
        <x:v>Imports</x:v>
      </x:c>
      <x:c r="B654" s="2" t="n">
        <x:v>650</x:v>
      </x:c>
      <x:c r="C654" s="2" t="str">
        <x:v>Wool     </x:v>
      </x:c>
      <x:c r="D654" s="2" t="str">
        <x:v>lbs.</x:v>
      </x:c>
      <x:c r="E654" s="8" t="n">
        <x:v>3454080</x:v>
      </x:c>
      <x:c r="F654" s="8" t="n">
        <x:v>129528</x:v>
      </x:c>
    </x:row>
    <x:row r="655" ht="23" customHeight="1">
      <x:c r="A655" s="2" t="str">
        <x:v>Imports</x:v>
      </x:c>
      <x:c r="B655" s="2" t="n">
        <x:v>651</x:v>
      </x:c>
      <x:c r="C655" s="2" t="str">
        <x:v>Wool Yarn ----     </x:v>
      </x:c>
      <x:c r="D655" s="2" t="str">
        <x:v>"</x:v>
      </x:c>
      <x:c r="E655" s="8" t="n">
        <x:v>2694832</x:v>
      </x:c>
      <x:c r="F655" s="8" t="n">
        <x:v>269483</x:v>
      </x:c>
    </x:row>
    <x:row r="656" ht="23" customHeight="1">
      <x:c r="A656" s="2" t="str">
        <x:v>Imports</x:v>
      </x:c>
      <x:c r="B656" s="2" t="n">
        <x:v>652</x:v>
      </x:c>
      <x:c r="C656" s="2" t="str">
        <x:v>Blankets ----     </x:v>
      </x:c>
      <x:c r="D656" s="2" t="str">
        <x:v>cwts.</x:v>
      </x:c>
      <x:c r="E656" s="8" t="n">
        <x:v>3123</x:v>
      </x:c>
      <x:c r="F656" s="8" t="n">
        <x:v>21861</x:v>
      </x:c>
    </x:row>
    <x:row r="657" ht="23" customHeight="1">
      <x:c r="A657" s="2" t="str">
        <x:v>Imports</x:v>
      </x:c>
      <x:c r="B657" s="2" t="n">
        <x:v>653</x:v>
      </x:c>
      <x:c r="C657" s="2" t="str">
        <x:v>Carpets ----     </x:v>
      </x:c>
      <x:c r="D657" s="2" t="str">
        <x:v>"</x:v>
      </x:c>
      <x:c r="E657" s="8" t="n">
        <x:v>12993</x:v>
      </x:c>
      <x:c r="F657" s="8" t="n">
        <x:v>207888</x:v>
      </x:c>
    </x:row>
    <x:row r="658" ht="23" customHeight="1">
      <x:c r="A658" s="2" t="str">
        <x:v>Imports</x:v>
      </x:c>
      <x:c r="B658" s="2" t="n">
        <x:v>654</x:v>
      </x:c>
      <x:c r="C658" s="2" t="str">
        <x:v>Felting ----     </x:v>
      </x:c>
      <x:c r="D658" s="2" t="str">
        <x:v>"</x:v>
      </x:c>
      <x:c r="E658" s="8" t="n">
        <x:v>12608</x:v>
      </x:c>
      <x:c r="F658" s="8" t="n">
        <x:v>3782</x:v>
      </x:c>
    </x:row>
    <x:row r="659" ht="23" customHeight="1">
      <x:c r="A659" s="2" t="str">
        <x:v>Imports</x:v>
      </x:c>
      <x:c r="B659" s="2" t="n">
        <x:v>655</x:v>
      </x:c>
      <x:c r="C659" s="2" t="str">
        <x:v>Woolen Goods, unclassified ----     </x:v>
      </x:c>
      <x:c r="D659" s="2" t="str">
        <x:v>"</x:v>
      </x:c>
      <x:c r="E659" s="8" t="n">
        <x:v>58043</x:v>
      </x:c>
      <x:c r="F659" s="8" t="n">
        <x:v>975290</x:v>
      </x:c>
    </x:row>
    <x:row r="660" ht="23" customHeight="1">
      <x:c r="A660" s="2" t="str">
        <x:v>Imports</x:v>
      </x:c>
      <x:c r="B660" s="2" t="n">
        <x:v>656</x:v>
      </x:c>
      <x:c r="C660" s="2" t="str">
        <x:v>     </x:v>
      </x:c>
      <x:c r="D660" s="2"/>
      <x:c r="E660" s="8"/>
      <x:c r="F660" s="8"/>
    </x:row>
    <x:row r="661" ht="23" customHeight="1">
      <x:c r="A661" s="2" t="str">
        <x:v>Imports</x:v>
      </x:c>
      <x:c r="B661" s="2" t="n">
        <x:v>657</x:v>
      </x:c>
      <x:c r="C661" s="2" t="str">
        <x:v>Thread and Yarn -  Thread ----   </x:v>
      </x:c>
      <x:c r="D661" s="2" t="str">
        <x:v>lbs.</x:v>
      </x:c>
      <x:c r="E661" s="8" t="n">
        <x:v>1144304</x:v>
      </x:c>
      <x:c r="F661" s="8" t="n">
        <x:v>143038</x:v>
      </x:c>
    </x:row>
    <x:row r="662" ht="23" customHeight="1">
      <x:c r="A662" s="2" t="str">
        <x:v>Imports</x:v>
      </x:c>
      <x:c r="B662" s="2" t="n">
        <x:v>658</x:v>
      </x:c>
      <x:c r="C662" s="2" t="str">
        <x:v>"       "      "  Yarns, unclassified ----   </x:v>
      </x:c>
      <x:c r="D662" s="2" t="str">
        <x:v>"</x:v>
      </x:c>
      <x:c r="E662" s="8" t="n">
        <x:v>4303264</x:v>
      </x:c>
      <x:c r="F662" s="8" t="n">
        <x:v>237576</x:v>
      </x:c>
    </x:row>
    <x:row r="663" ht="23" customHeight="1">
      <x:c r="A663" s="2" t="str">
        <x:v>Imports</x:v>
      </x:c>
      <x:c r="B663" s="2" t="n">
        <x:v>659</x:v>
      </x:c>
      <x:c r="C663" s="2" t="str">
        <x:v>     </x:v>
      </x:c>
      <x:c r="D663" s="2"/>
      <x:c r="E663" s="8"/>
      <x:c r="F663" s="8"/>
    </x:row>
    <x:row r="664" ht="23" customHeight="1">
      <x:c r="A664" s="2" t="str">
        <x:v>Imports</x:v>
      </x:c>
      <x:c r="B664" s="2" t="n">
        <x:v>660</x:v>
      </x:c>
      <x:c r="C664" s="2" t="str">
        <x:v>Hair,Fibre,Flock,&amp;c. -  Hair,Curled ----   </x:v>
      </x:c>
      <x:c r="D664" s="2" t="str">
        <x:v>cwts.</x:v>
      </x:c>
      <x:c r="E664" s="8" t="n">
        <x:v>7577</x:v>
      </x:c>
      <x:c r="F664" s="8" t="n">
        <x:v>23930</x:v>
      </x:c>
    </x:row>
    <x:row r="665" ht="23" customHeight="1">
      <x:c r="A665" s="2" t="str">
        <x:v>Imports</x:v>
      </x:c>
      <x:c r="B665" s="2" t="n">
        <x:v>661</x:v>
      </x:c>
      <x:c r="C665" s="2" t="str">
        <x:v>"           "  Hair, Plasterers' ----   </x:v>
      </x:c>
      <x:c r="D665" s="2" t="str">
        <x:v>"</x:v>
      </x:c>
      <x:c r="E665" s="8" t="n">
        <x:v>12731</x:v>
      </x:c>
      <x:c r="F665" s="8" t="n">
        <x:v>7038</x:v>
      </x:c>
    </x:row>
    <x:row r="666" ht="23" customHeight="1">
      <x:c r="A666" s="2" t="str">
        <x:v>Imports</x:v>
      </x:c>
      <x:c r="B666" s="2" t="n">
        <x:v>662</x:v>
      </x:c>
      <x:c r="C666" s="2" t="str">
        <x:v>"           "  Cotton Waste ----   </x:v>
      </x:c>
      <x:c r="D666" s="2" t="str">
        <x:v>lbs.</x:v>
      </x:c>
      <x:c r="E666" s="8" t="n">
        <x:v>1229200</x:v>
      </x:c>
      <x:c r="F666" s="8" t="n">
        <x:v>14341</x:v>
      </x:c>
    </x:row>
    <x:row r="667" ht="23" customHeight="1">
      <x:c r="A667" s="2" t="str">
        <x:v>Imports</x:v>
      </x:c>
      <x:c r="B667" s="2" t="n">
        <x:v>663</x:v>
      </x:c>
      <x:c r="C667" s="2" t="str">
        <x:v>"           "  Waste (Flax,Hemp,Tow) ----   </x:v>
      </x:c>
      <x:c r="D667" s="2" t="str">
        <x:v>cwts.</x:v>
      </x:c>
      <x:c r="E667" s="8" t="n">
        <x:v>84020</x:v>
      </x:c>
      <x:c r="F667" s="8" t="n">
        <x:v>42010</x:v>
      </x:c>
    </x:row>
    <x:row r="668" ht="23" customHeight="1">
      <x:c r="A668" s="2" t="str">
        <x:v>Imports</x:v>
      </x:c>
      <x:c r="B668" s="2" t="n">
        <x:v>664</x:v>
      </x:c>
      <x:c r="C668" s="2" t="str">
        <x:v>"           "  Wool Flock and Waste ----   </x:v>
      </x:c>
      <x:c r="D668" s="2" t="str">
        <x:v>lbs.</x:v>
      </x:c>
      <x:c r="E668" s="8" t="n">
        <x:v>47152</x:v>
      </x:c>
      <x:c r="F668" s="8" t="n">
        <x:v>246</x:v>
      </x:c>
    </x:row>
    <x:row r="669" ht="23" customHeight="1">
      <x:c r="A669" s="2" t="str">
        <x:v>Imports</x:v>
      </x:c>
      <x:c r="B669" s="2" t="n">
        <x:v>665</x:v>
      </x:c>
      <x:c r="C669" s="2" t="str">
        <x:v>"           "  Fibre and Oakum ----   </x:v>
      </x:c>
      <x:c r="D669" s="2" t="str">
        <x:v>cwts.</x:v>
      </x:c>
      <x:c r="E669" s="8" t="n">
        <x:v>10111</x:v>
      </x:c>
      <x:c r="F669" s="8" t="n">
        <x:v>13014</x:v>
      </x:c>
    </x:row>
    <x:row r="670" ht="23" customHeight="1">
      <x:c r="A670" s="2" t="str">
        <x:v>Imports</x:v>
      </x:c>
      <x:c r="B670" s="2" t="n">
        <x:v>666</x:v>
      </x:c>
      <x:c r="C670" s="2" t="str">
        <x:v>"           "  Coir Yarn ----   </x:v>
      </x:c>
      <x:c r="D670" s="2" t="str">
        <x:v>"</x:v>
      </x:c>
      <x:c r="E670" s="8" t="n">
        <x:v>14393</x:v>
      </x:c>
      <x:c r="F670" s="8" t="n">
        <x:v>10075</x:v>
      </x:c>
    </x:row>
    <x:row r="671" ht="23" customHeight="1">
      <x:c r="A671" s="2" t="str">
        <x:v>Imports</x:v>
      </x:c>
      <x:c r="B671" s="2" t="n">
        <x:v>667</x:v>
      </x:c>
      <x:c r="C671" s="2" t="str">
        <x:v>"           "  Mattresses ----   </x:v>
      </x:c>
      <x:c r="D671" s="2" t="str">
        <x:v>"</x:v>
      </x:c>
      <x:c r="E671" s="8" t="n">
        <x:v>1052</x:v>
      </x:c>
      <x:c r="F671" s="8" t="n">
        <x:v>5891</x:v>
      </x:c>
    </x:row>
    <x:row r="672" ht="23" customHeight="1">
      <x:c r="A672" s="2" t="str">
        <x:v>Imports</x:v>
      </x:c>
      <x:c r="B672" s="2" t="n">
        <x:v>668</x:v>
      </x:c>
      <x:c r="C672" s="2" t="str">
        <x:v>"           "  Mats and Matting ----   </x:v>
      </x:c>
      <x:c r="D672" s="2" t="str">
        <x:v>"</x:v>
      </x:c>
      <x:c r="E672" s="8" t="n">
        <x:v>5249</x:v>
      </x:c>
      <x:c r="F672" s="8" t="n">
        <x:v>24495</x:v>
      </x:c>
    </x:row>
    <x:row r="673" ht="23" customHeight="1">
      <x:c r="A673" s="2" t="str">
        <x:v>Imports</x:v>
      </x:c>
      <x:c r="B673" s="2" t="n">
        <x:v>669</x:v>
      </x:c>
      <x:c r="C673" s="2" t="str">
        <x:v>     </x:v>
      </x:c>
      <x:c r="D673" s="2"/>
      <x:c r="E673" s="8"/>
      <x:c r="F673" s="8"/>
    </x:row>
    <x:row r="674" ht="23" customHeight="1">
      <x:c r="A674" s="2" t="str">
        <x:v>Imports</x:v>
      </x:c>
      <x:c r="B674" s="2" t="n">
        <x:v>670</x:v>
      </x:c>
      <x:c r="C674" s="2" t="str">
        <x:v>Textile Goods, unclassified -   Hosiery ----  </x:v>
      </x:c>
      <x:c r="D674" s="2" t="str">
        <x:v>"</x:v>
      </x:c>
      <x:c r="E674" s="8" t="n">
        <x:v>11287</x:v>
      </x:c>
      <x:c r="F674" s="8" t="n">
        <x:v>126414</x:v>
      </x:c>
    </x:row>
    <x:row r="675" ht="23" customHeight="1">
      <x:c r="A675" s="2" t="str">
        <x:v>Imports</x:v>
      </x:c>
      <x:c r="B675" s="2" t="n">
        <x:v>671</x:v>
      </x:c>
      <x:c r="C675" s="2" t="str">
        <x:v>   Drapery ----  </x:v>
      </x:c>
      <x:c r="D675" s="2" t="str">
        <x:v>"</x:v>
      </x:c>
      <x:c r="E675" s="8" t="n">
        <x:v>277441</x:v>
      </x:c>
      <x:c r="F675" s="8" t="n">
        <x:v>3884174</x:v>
      </x:c>
    </x:row>
    <x:row r="676" ht="23" customHeight="1">
      <x:c r="A676" s="2" t="str">
        <x:v>Imports</x:v>
      </x:c>
      <x:c r="B676" s="2" t="n">
        <x:v>672</x:v>
      </x:c>
      <x:c r="C676" s="2" t="str">
        <x:v>   Apparel,unclassified ----  </x:v>
      </x:c>
      <x:c r="D676" s="2" t="str">
        <x:v>"</x:v>
      </x:c>
      <x:c r="E676" s="8" t="n">
        <x:v>46101</x:v>
      </x:c>
      <x:c r="F676" s="8" t="n">
        <x:v>645414</x:v>
      </x:c>
    </x:row>
    <x:row r="677" ht="23" customHeight="1">
      <x:c r="A677" s="2" t="str">
        <x:v>Imports</x:v>
      </x:c>
      <x:c r="B677" s="2" t="n">
        <x:v>673</x:v>
      </x:c>
      <x:c r="C677" s="2" t="str">
        <x:v>     </x:v>
      </x:c>
      <x:c r="D677" s="2"/>
      <x:c r="E677" s="8"/>
      <x:c r="F677" s="8"/>
    </x:row>
    <x:row r="678" ht="23" customHeight="1">
      <x:c r="A678" s="2" t="str">
        <x:v>Imports</x:v>
      </x:c>
      <x:c r="B678" s="2" t="n">
        <x:v>674</x:v>
      </x:c>
      <x:c r="C678" s="2" t="str">
        <x:v>     </x:v>
      </x:c>
      <x:c r="D678" s="2"/>
      <x:c r="E678" s="8"/>
      <x:c r="F678" s="8"/>
    </x:row>
    <x:row r="679" ht="23" customHeight="1">
      <x:c r="A679" s="2" t="str">
        <x:v>Imports</x:v>
      </x:c>
      <x:c r="B679" s="2" t="n">
        <x:v>675</x:v>
      </x:c>
      <x:c r="C679" s="2" t="str">
        <x:v>     </x:v>
      </x:c>
      <x:c r="D679" s="2"/>
      <x:c r="E679" s="8"/>
      <x:c r="F679" s="8"/>
    </x:row>
    <x:row r="680" ht="23" customHeight="1">
      <x:c r="A680" s="2" t="str">
        <x:v>Imports</x:v>
      </x:c>
      <x:c r="B680" s="2" t="n">
        <x:v>676</x:v>
      </x:c>
      <x:c r="C680" s="2" t="str">
        <x:v>78. TOBACCO -     </x:v>
      </x:c>
      <x:c r="D680" s="2"/>
      <x:c r="E680" s="8"/>
      <x:c r="F680" s="8"/>
    </x:row>
    <x:row r="681" ht="23" customHeight="1">
      <x:c r="A681" s="2" t="str">
        <x:v>Imports</x:v>
      </x:c>
      <x:c r="B681" s="2" t="n">
        <x:v>677</x:v>
      </x:c>
      <x:c r="C681" s="2" t="str">
        <x:v>Manufactured ----     </x:v>
      </x:c>
      <x:c r="D681" s="2" t="str">
        <x:v>lbs</x:v>
      </x:c>
      <x:c r="E681" s="8" t="n">
        <x:v>3631326</x:v>
      </x:c>
      <x:c r="F681" s="8" t="n">
        <x:v>726265</x:v>
      </x:c>
    </x:row>
    <x:row r="682" ht="23" customHeight="1">
      <x:c r="A682" s="2" t="str">
        <x:v>Imports</x:v>
      </x:c>
      <x:c r="B682" s="2" t="n">
        <x:v>678</x:v>
      </x:c>
      <x:c r="C682" s="2" t="str">
        <x:v>Unmanufactured ----     </x:v>
      </x:c>
      <x:c r="D682" s="2" t="str">
        <x:v>"</x:v>
      </x:c>
      <x:c r="E682" s="8" t="n">
        <x:v>13355847</x:v>
      </x:c>
      <x:c r="F682" s="8" t="n">
        <x:v>333896</x:v>
      </x:c>
    </x:row>
    <x:row r="683" ht="23" customHeight="1">
      <x:c r="A683" s="2" t="str">
        <x:v>Imports</x:v>
      </x:c>
      <x:c r="B683" s="2" t="n">
        <x:v>679</x:v>
      </x:c>
      <x:c r="C683" s="2" t="str">
        <x:v>     </x:v>
      </x:c>
      <x:c r="D683" s="2"/>
      <x:c r="E683" s="8"/>
      <x:c r="F683" s="8"/>
    </x:row>
    <x:row r="684" ht="23" customHeight="1">
      <x:c r="A684" s="2" t="str">
        <x:v>Imports</x:v>
      </x:c>
      <x:c r="B684" s="2" t="n">
        <x:v>680</x:v>
      </x:c>
      <x:c r="C684" s="2" t="str">
        <x:v>     </x:v>
      </x:c>
      <x:c r="D684" s="2"/>
      <x:c r="E684" s="8"/>
      <x:c r="F684" s="8"/>
    </x:row>
    <x:row r="685" ht="23" customHeight="1">
      <x:c r="A685" s="2" t="str">
        <x:v>Imports</x:v>
      </x:c>
      <x:c r="B685" s="2" t="n">
        <x:v>681</x:v>
      </x:c>
      <x:c r="C685" s="2" t="str">
        <x:v>     </x:v>
      </x:c>
      <x:c r="D685" s="2"/>
      <x:c r="E685" s="8"/>
      <x:c r="F685" s="8"/>
    </x:row>
    <x:row r="686" ht="23" customHeight="1">
      <x:c r="A686" s="2" t="str">
        <x:v>Imports</x:v>
      </x:c>
      <x:c r="B686" s="2" t="n">
        <x:v>682</x:v>
      </x:c>
      <x:c r="C686" s="2" t="str">
        <x:v>79.TOBACCO PIPES ----     </x:v>
      </x:c>
      <x:c r="D686" s="2" t="str">
        <x:v>cwts.</x:v>
      </x:c>
      <x:c r="E686" s="8" t="n">
        <x:v>3131</x:v>
      </x:c>
      <x:c r="F686" s="8" t="n">
        <x:v>100000</x:v>
      </x:c>
    </x:row>
    <x:row r="687" ht="23" customHeight="1">
      <x:c r="A687" s="2" t="str">
        <x:v>Imports</x:v>
      </x:c>
      <x:c r="B687" s="2" t="n">
        <x:v>683</x:v>
      </x:c>
      <x:c r="C687" s="2" t="str">
        <x:v>     </x:v>
      </x:c>
      <x:c r="D687" s="2"/>
      <x:c r="E687" s="8"/>
      <x:c r="F687" s="8"/>
    </x:row>
    <x:row r="688" ht="23" customHeight="1">
      <x:c r="A688" s="2" t="str">
        <x:v>Imports</x:v>
      </x:c>
      <x:c r="B688" s="2" t="n">
        <x:v>684</x:v>
      </x:c>
      <x:c r="C688" s="2" t="str">
        <x:v>     </x:v>
      </x:c>
      <x:c r="D688" s="2"/>
      <x:c r="E688" s="8"/>
      <x:c r="F688" s="8"/>
    </x:row>
    <x:row r="689" ht="23" customHeight="1">
      <x:c r="A689" s="2" t="str">
        <x:v>Imports</x:v>
      </x:c>
      <x:c r="B689" s="2" t="n">
        <x:v>685</x:v>
      </x:c>
      <x:c r="C689" s="2" t="str">
        <x:v>     </x:v>
      </x:c>
      <x:c r="D689" s="2"/>
      <x:c r="E689" s="8"/>
      <x:c r="F689" s="8"/>
    </x:row>
    <x:row r="690" ht="23" customHeight="1">
      <x:c r="A690" s="2" t="str">
        <x:v>Imports</x:v>
      </x:c>
      <x:c r="B690" s="2" t="n">
        <x:v>686</x:v>
      </x:c>
      <x:c r="C690" s="2" t="str">
        <x:v>80. TOYS ----     </x:v>
      </x:c>
      <x:c r="D690" s="2" t="str">
        <x:v>"</x:v>
      </x:c>
      <x:c r="E690" s="8" t="n">
        <x:v>11501</x:v>
      </x:c>
      <x:c r="F690" s="8" t="n">
        <x:v>13226</x:v>
      </x:c>
    </x:row>
    <x:row r="691" ht="23" customHeight="1">
      <x:c r="A691" s="2" t="str">
        <x:v>Imports</x:v>
      </x:c>
      <x:c r="B691" s="2" t="n">
        <x:v>687</x:v>
      </x:c>
      <x:c r="C691" s="2" t="str">
        <x:v>     </x:v>
      </x:c>
      <x:c r="D691" s="2"/>
      <x:c r="E691" s="8"/>
      <x:c r="F691" s="8"/>
    </x:row>
    <x:row r="692" ht="23" customHeight="1">
      <x:c r="A692" s="2" t="str">
        <x:v>Imports</x:v>
      </x:c>
      <x:c r="B692" s="2" t="n">
        <x:v>688</x:v>
      </x:c>
      <x:c r="C692" s="2" t="str">
        <x:v>     </x:v>
      </x:c>
      <x:c r="D692" s="2"/>
      <x:c r="E692" s="8"/>
      <x:c r="F692" s="8"/>
    </x:row>
    <x:row r="693" ht="23" customHeight="1">
      <x:c r="A693" s="2" t="str">
        <x:v>Imports</x:v>
      </x:c>
      <x:c r="B693" s="2" t="n">
        <x:v>689</x:v>
      </x:c>
      <x:c r="C693" s="2" t="str">
        <x:v>     </x:v>
      </x:c>
      <x:c r="D693" s="2"/>
      <x:c r="E693" s="8"/>
      <x:c r="F693" s="8"/>
    </x:row>
    <x:row r="694" ht="23" customHeight="1">
      <x:c r="A694" s="2" t="str">
        <x:v>Imports</x:v>
      </x:c>
      <x:c r="B694" s="2" t="n">
        <x:v>690</x:v>
      </x:c>
      <x:c r="C694" s="2" t="str">
        <x:v>81. UMBRELLAS ----     </x:v>
      </x:c>
      <x:c r="D694" s="2" t="str">
        <x:v>"</x:v>
      </x:c>
      <x:c r="E694" s="8" t="n">
        <x:v>529</x:v>
      </x:c>
      <x:c r="F694" s="8" t="n">
        <x:v>23805</x:v>
      </x:c>
    </x:row>
    <x:row r="695" ht="23" customHeight="1">
      <x:c r="A695" s="2" t="str">
        <x:v>Imports</x:v>
      </x:c>
      <x:c r="B695" s="2" t="n">
        <x:v>691</x:v>
      </x:c>
      <x:c r="C695" s="2" t="str">
        <x:v>     </x:v>
      </x:c>
      <x:c r="D695" s="2"/>
      <x:c r="E695" s="8"/>
      <x:c r="F695" s="8"/>
    </x:row>
    <x:row r="696" ht="23" customHeight="1">
      <x:c r="A696" s="2" t="str">
        <x:v>Imports</x:v>
      </x:c>
      <x:c r="B696" s="2" t="n">
        <x:v>692</x:v>
      </x:c>
      <x:c r="C696" s="2" t="str">
        <x:v>     </x:v>
      </x:c>
      <x:c r="D696" s="2"/>
      <x:c r="E696" s="8"/>
      <x:c r="F696" s="8"/>
    </x:row>
    <x:row r="697" ht="23" customHeight="1">
      <x:c r="A697" s="2" t="str">
        <x:v>Imports</x:v>
      </x:c>
      <x:c r="B697" s="2" t="n">
        <x:v>693</x:v>
      </x:c>
      <x:c r="C697" s="2" t="str">
        <x:v>     </x:v>
      </x:c>
      <x:c r="D697" s="2"/>
      <x:c r="E697" s="8"/>
      <x:c r="F697" s="8"/>
    </x:row>
    <x:row r="698" ht="23" customHeight="1">
      <x:c r="A698" s="2" t="str">
        <x:v>Imports</x:v>
      </x:c>
      <x:c r="B698" s="2" t="n">
        <x:v>694</x:v>
      </x:c>
      <x:c r="C698" s="2" t="str">
        <x:v>82.WASTE, unclassified ----     </x:v>
      </x:c>
      <x:c r="D698" s="2" t="str">
        <x:v>"</x:v>
      </x:c>
      <x:c r="E698" s="8" t="n">
        <x:v>7784</x:v>
      </x:c>
      <x:c r="F698" s="8" t="n">
        <x:v>3892</x:v>
      </x:c>
    </x:row>
    <x:row r="699" ht="23" customHeight="1">
      <x:c r="A699" s="2" t="str">
        <x:v>Imports</x:v>
      </x:c>
      <x:c r="B699" s="2" t="n">
        <x:v>695</x:v>
      </x:c>
      <x:c r="C699" s="2" t="str">
        <x:v>     </x:v>
      </x:c>
      <x:c r="D699" s="2"/>
      <x:c r="E699" s="8"/>
      <x:c r="F699" s="8"/>
    </x:row>
    <x:row r="700" ht="23" customHeight="1">
      <x:c r="A700" s="2" t="str">
        <x:v>Imports</x:v>
      </x:c>
      <x:c r="B700" s="2" t="n">
        <x:v>696</x:v>
      </x:c>
      <x:c r="C700" s="2" t="str">
        <x:v>     </x:v>
      </x:c>
      <x:c r="D700" s="2"/>
      <x:c r="E700" s="8"/>
      <x:c r="F700" s="8"/>
    </x:row>
    <x:row r="701" ht="23" customHeight="1">
      <x:c r="A701" s="2" t="str">
        <x:v>Imports</x:v>
      </x:c>
      <x:c r="B701" s="2" t="n">
        <x:v>697</x:v>
      </x:c>
      <x:c r="C701" s="2" t="str">
        <x:v>     </x:v>
      </x:c>
      <x:c r="D701" s="2"/>
      <x:c r="E701" s="8"/>
      <x:c r="F701" s="8"/>
    </x:row>
    <x:row r="702" ht="23" customHeight="1">
      <x:c r="A702" s="2" t="str">
        <x:v>Imports</x:v>
      </x:c>
      <x:c r="B702" s="2" t="n">
        <x:v>698</x:v>
      </x:c>
      <x:c r="C702" s="2" t="str">
        <x:v>83. WAX, BEES ----     </x:v>
      </x:c>
      <x:c r="D702" s="2" t="str">
        <x:v>"</x:v>
      </x:c>
      <x:c r="E702" s="8" t="n">
        <x:v>161</x:v>
      </x:c>
      <x:c r="F702" s="8" t="n">
        <x:v>902</x:v>
      </x:c>
    </x:row>
    <x:row r="703" ht="23" customHeight="1">
      <x:c r="A703" s="2" t="str">
        <x:v>Imports</x:v>
      </x:c>
      <x:c r="B703" s="2" t="n">
        <x:v>699</x:v>
      </x:c>
      <x:c r="C703" s="2" t="str">
        <x:v>"    , PARAFFIN ----     </x:v>
      </x:c>
      <x:c r="D703" s="2" t="str">
        <x:v>"</x:v>
      </x:c>
      <x:c r="E703" s="8" t="n">
        <x:v>26076</x:v>
      </x:c>
      <x:c r="F703" s="8" t="n">
        <x:v>32595</x:v>
      </x:c>
    </x:row>
    <x:row r="704" ht="23" customHeight="1">
      <x:c r="A704" s="2" t="str">
        <x:v>Imports</x:v>
      </x:c>
      <x:c r="B704" s="2" t="n">
        <x:v>700</x:v>
      </x:c>
      <x:c r="C704" s="2" t="str">
        <x:v>     </x:v>
      </x:c>
      <x:c r="D704" s="2"/>
      <x:c r="E704" s="8"/>
      <x:c r="F704" s="8"/>
    </x:row>
    <x:row r="705" ht="23" customHeight="1">
      <x:c r="A705" s="2" t="str">
        <x:v>Imports</x:v>
      </x:c>
      <x:c r="B705" s="2" t="n">
        <x:v>701</x:v>
      </x:c>
      <x:c r="C705" s="2" t="str">
        <x:v>     </x:v>
      </x:c>
      <x:c r="D705" s="2"/>
      <x:c r="E705" s="8"/>
      <x:c r="F705" s="8"/>
    </x:row>
    <x:row r="706" ht="23" customHeight="1">
      <x:c r="A706" s="2" t="str">
        <x:v>Imports</x:v>
      </x:c>
      <x:c r="B706" s="2" t="n">
        <x:v>702</x:v>
      </x:c>
      <x:c r="C706" s="2" t="str">
        <x:v>     </x:v>
      </x:c>
      <x:c r="D706" s="2"/>
      <x:c r="E706" s="8"/>
      <x:c r="F706" s="8"/>
    </x:row>
    <x:row r="707" ht="23" customHeight="1">
      <x:c r="A707" s="2" t="str">
        <x:v>Imports</x:v>
      </x:c>
      <x:c r="B707" s="2" t="n">
        <x:v>703</x:v>
      </x:c>
      <x:c r="C707" s="2" t="str">
        <x:v>84. WOOD,TIMBER and MANUFACTURES THEREOF -     </x:v>
      </x:c>
      <x:c r="D707" s="2"/>
      <x:c r="E707" s="8"/>
      <x:c r="F707" s="8"/>
    </x:row>
    <x:row r="708" ht="23" customHeight="1">
      <x:c r="A708" s="2" t="str">
        <x:v>Imports</x:v>
      </x:c>
      <x:c r="B708" s="2" t="n">
        <x:v>704</x:v>
      </x:c>
      <x:c r="C708" s="2" t="str">
        <x:v>Timber ----     </x:v>
      </x:c>
      <x:c r="D708" s="2" t="str">
        <x:v>loads</x:v>
      </x:c>
      <x:c r="E708" s="8" t="n">
        <x:v>99183</x:v>
      </x:c>
      <x:c r="F708" s="8" t="n">
        <x:v>446324</x:v>
      </x:c>
    </x:row>
    <x:row r="709" ht="23" customHeight="1">
      <x:c r="A709" s="2" t="str">
        <x:v>Imports</x:v>
      </x:c>
      <x:c r="B709" s="2" t="n">
        <x:v>705</x:v>
      </x:c>
      <x:c r="C709" s="2" t="str">
        <x:v>Boxwood ----     </x:v>
      </x:c>
      <x:c r="D709" s="2" t="str">
        <x:v>"</x:v>
      </x:c>
      <x:c r="E709" s="8" t="n">
        <x:v>876</x:v>
      </x:c>
      <x:c r="F709" s="8" t="n">
        <x:v>13140</x:v>
      </x:c>
    </x:row>
    <x:row r="710" ht="23" customHeight="1">
      <x:c r="A710" s="2" t="str">
        <x:v>Imports</x:v>
      </x:c>
      <x:c r="B710" s="2" t="n">
        <x:v>706</x:v>
      </x:c>
      <x:c r="C710" s="2" t="str">
        <x:v>Mahogany ----     </x:v>
      </x:c>
      <x:c r="D710" s="2" t="str">
        <x:v>"</x:v>
      </x:c>
      <x:c r="E710" s="8" t="n">
        <x:v>2316</x:v>
      </x:c>
      <x:c r="F710" s="8" t="n">
        <x:v>23160</x:v>
      </x:c>
    </x:row>
    <x:row r="711" ht="23" customHeight="1">
      <x:c r="A711" s="2" t="str">
        <x:v>Imports</x:v>
      </x:c>
      <x:c r="B711" s="2" t="n">
        <x:v>707</x:v>
      </x:c>
      <x:c r="C711" s="2" t="str">
        <x:v>Corks and Corkwood ----     </x:v>
      </x:c>
      <x:c r="D711" s="2" t="str">
        <x:v>"</x:v>
      </x:c>
      <x:c r="E711" s="8" t="n">
        <x:v>1228</x:v>
      </x:c>
      <x:c r="F711" s="8" t="n">
        <x:v>98240</x:v>
      </x:c>
    </x:row>
    <x:row r="712" ht="23" customHeight="1">
      <x:c r="A712" s="2" t="str">
        <x:v>Imports</x:v>
      </x:c>
      <x:c r="B712" s="2" t="n">
        <x:v>708</x:v>
      </x:c>
      <x:c r="C712" s="2" t="str">
        <x:v>Timber, Sawn ----     </x:v>
      </x:c>
      <x:c r="D712" s="2" t="str">
        <x:v>"</x:v>
      </x:c>
      <x:c r="E712" s="8" t="n">
        <x:v>2967</x:v>
      </x:c>
      <x:c r="F712" s="8" t="n">
        <x:v>14835</x:v>
      </x:c>
    </x:row>
    <x:row r="713" ht="23" customHeight="1">
      <x:c r="A713" s="2" t="str">
        <x:v>Imports</x:v>
      </x:c>
      <x:c r="B713" s="2" t="n">
        <x:v>709</x:v>
      </x:c>
      <x:c r="C713" s="2" t="str">
        <x:v>Boards and Deals ----     </x:v>
      </x:c>
      <x:c r="D713" s="2" t="str">
        <x:v>"</x:v>
      </x:c>
      <x:c r="E713" s="8" t="n">
        <x:v>192322</x:v>
      </x:c>
      <x:c r="F713" s="8" t="n">
        <x:v>576966</x:v>
      </x:c>
    </x:row>
    <x:row r="714" ht="23" customHeight="1">
      <x:c r="A714" s="2" t="str">
        <x:v>Imports</x:v>
      </x:c>
      <x:c r="B714" s="2" t="n">
        <x:v>710</x:v>
      </x:c>
      <x:c r="C714" s="2" t="str">
        <x:v>Sleepers, Railway ----     </x:v>
      </x:c>
      <x:c r="D714" s="2" t="str">
        <x:v>"</x:v>
      </x:c>
      <x:c r="E714" s="8" t="n">
        <x:v>42045</x:v>
      </x:c>
      <x:c r="F714" s="8" t="n">
        <x:v>115624</x:v>
      </x:c>
    </x:row>
    <x:row r="715" ht="23" customHeight="1">
      <x:c r="A715" s="2" t="str">
        <x:v>Imports</x:v>
      </x:c>
      <x:c r="B715" s="2" t="n">
        <x:v>711</x:v>
      </x:c>
      <x:c r="C715" s="2" t="str">
        <x:v>Staves ----     </x:v>
      </x:c>
      <x:c r="D715" s="2" t="str">
        <x:v>tons.</x:v>
      </x:c>
      <x:c r="E715" s="8" t="n">
        <x:v>8966</x:v>
      </x:c>
      <x:c r="F715" s="8" t="n">
        <x:v>67245</x:v>
      </x:c>
    </x:row>
    <x:row r="716" ht="23" customHeight="1">
      <x:c r="A716" s="2" t="str">
        <x:v>Imports</x:v>
      </x:c>
      <x:c r="B716" s="2" t="n">
        <x:v>712</x:v>
      </x:c>
      <x:c r="C716" s="2" t="str">
        <x:v>Hoops ----     </x:v>
      </x:c>
      <x:c r="D716" s="2" t="str">
        <x:v>cwts.</x:v>
      </x:c>
      <x:c r="E716" s="8" t="n">
        <x:v>9736</x:v>
      </x:c>
      <x:c r="F716" s="8" t="n">
        <x:v>4138</x:v>
      </x:c>
    </x:row>
    <x:row r="717" ht="23" customHeight="1">
      <x:c r="A717" s="2" t="str">
        <x:v>Imports</x:v>
      </x:c>
      <x:c r="B717" s="2" t="n">
        <x:v>713</x:v>
      </x:c>
      <x:c r="C717" s="2" t="str">
        <x:v>Baskets ----     </x:v>
      </x:c>
      <x:c r="D717" s="2" t="str">
        <x:v>"</x:v>
      </x:c>
      <x:c r="E717" s="8" t="n">
        <x:v>5556</x:v>
      </x:c>
      <x:c r="F717" s="8" t="n">
        <x:v>22224</x:v>
      </x:c>
    </x:row>
    <x:row r="718" ht="23" customHeight="1">
      <x:c r="A718" s="2" t="str">
        <x:v>Imports</x:v>
      </x:c>
      <x:c r="B718" s="2" t="n">
        <x:v>714</x:v>
      </x:c>
      <x:c r="C718" s="2" t="str">
        <x:v>Basket Rods ----     </x:v>
      </x:c>
      <x:c r="D718" s="2" t="str">
        <x:v>"</x:v>
      </x:c>
      <x:c r="E718" s="8" t="n">
        <x:v>5655</x:v>
      </x:c>
      <x:c r="F718" s="8" t="n">
        <x:v>5655</x:v>
      </x:c>
    </x:row>
    <x:row r="719" ht="23" customHeight="1">
      <x:c r="A719" s="2" t="str">
        <x:v>Imports</x:v>
      </x:c>
      <x:c r="B719" s="2" t="n">
        <x:v>715</x:v>
      </x:c>
      <x:c r="C719" s="2" t="str">
        <x:v>Rushes ----     </x:v>
      </x:c>
      <x:c r="D719" s="2" t="str">
        <x:v>"</x:v>
      </x:c>
      <x:c r="E719" s="8" t="n">
        <x:v>527</x:v>
      </x:c>
      <x:c r="F719" s="8" t="n">
        <x:v>501</x:v>
      </x:c>
    </x:row>
    <x:row r="720" ht="23" customHeight="1">
      <x:c r="A720" s="2" t="str">
        <x:v>Imports</x:v>
      </x:c>
      <x:c r="B720" s="2" t="n">
        <x:v>716</x:v>
      </x:c>
      <x:c r="C720" s="2" t="str">
        <x:v>Clog Soles ----     </x:v>
      </x:c>
      <x:c r="D720" s="2" t="str">
        <x:v>"</x:v>
      </x:c>
      <x:c r="E720" s="8" t="n">
        <x:v>512</x:v>
      </x:c>
      <x:c r="F720" s="8" t="n">
        <x:v>794</x:v>
      </x:c>
    </x:row>
    <x:row r="721" ht="23" customHeight="1">
      <x:c r="A721" s="2" t="str">
        <x:v>Imports</x:v>
      </x:c>
      <x:c r="B721" s="2" t="n">
        <x:v>717</x:v>
      </x:c>
      <x:c r="C721" s="2" t="str">
        <x:v>Handles ----     </x:v>
      </x:c>
      <x:c r="D721" s="2" t="str">
        <x:v>"</x:v>
      </x:c>
      <x:c r="E721" s="8" t="n">
        <x:v>5470</x:v>
      </x:c>
      <x:c r="F721" s="8" t="n">
        <x:v>3555</x:v>
      </x:c>
    </x:row>
    <x:row r="722" ht="23" customHeight="1">
      <x:c r="A722" s="2" t="str">
        <x:v>Imports</x:v>
      </x:c>
      <x:c r="B722" s="2" t="n">
        <x:v>718</x:v>
      </x:c>
      <x:c r="C722" s="2" t="str">
        <x:v>Cane ----     </x:v>
      </x:c>
      <x:c r="D722" s="2" t="str">
        <x:v>"</x:v>
      </x:c>
      <x:c r="E722" s="8" t="n">
        <x:v>1509</x:v>
      </x:c>
      <x:c r="F722" s="8" t="n">
        <x:v>1132</x:v>
      </x:c>
    </x:row>
    <x:row r="723" ht="23" customHeight="1">
      <x:c r="A723" s="2" t="str">
        <x:v>Imports</x:v>
      </x:c>
      <x:c r="B723" s="2" t="n">
        <x:v>719</x:v>
      </x:c>
      <x:c r="C723" s="2" t="str">
        <x:v>Picture Frames ----     </x:v>
      </x:c>
      <x:c r="D723" s="2" t="str">
        <x:v>"</x:v>
      </x:c>
      <x:c r="E723" s="8" t="n">
        <x:v>1292</x:v>
      </x:c>
      <x:c r="F723" s="8" t="n">
        <x:v>1194</x:v>
      </x:c>
    </x:row>
    <x:row r="724" ht="23" customHeight="1">
      <x:c r="A724" s="2" t="str">
        <x:v>Imports</x:v>
      </x:c>
      <x:c r="B724" s="2" t="n">
        <x:v>720</x:v>
      </x:c>
      <x:c r="C724" s="2" t="str">
        <x:v>Rollers, Wood ----     </x:v>
      </x:c>
      <x:c r="D724" s="2" t="str">
        <x:v>"</x:v>
      </x:c>
      <x:c r="E724" s="8" t="n">
        <x:v>1158</x:v>
      </x:c>
      <x:c r="F724" s="8" t="n">
        <x:v>637</x:v>
      </x:c>
    </x:row>
    <x:row r="725" ht="23" customHeight="1">
      <x:c r="A725" s="2" t="str">
        <x:v>Imports</x:v>
      </x:c>
      <x:c r="B725" s="2" t="n">
        <x:v>721</x:v>
      </x:c>
      <x:c r="C725" s="2" t="str">
        <x:v>Walking Sticks ----     </x:v>
      </x:c>
      <x:c r="D725" s="2" t="str">
        <x:v>"</x:v>
      </x:c>
      <x:c r="E725" s="8" t="n">
        <x:v>437</x:v>
      </x:c>
      <x:c r="F725" s="8" t="n">
        <x:v>11799</x:v>
      </x:c>
    </x:row>
    <x:row r="726" ht="23" customHeight="1">
      <x:c r="A726" s="2" t="str">
        <x:v>Imports</x:v>
      </x:c>
      <x:c r="B726" s="2" t="n">
        <x:v>722</x:v>
      </x:c>
      <x:c r="C726" s="2" t="str">
        <x:v>Washboards ----     </x:v>
      </x:c>
      <x:c r="D726" s="2" t="str">
        <x:v>"</x:v>
      </x:c>
      <x:c r="E726" s="8" t="n">
        <x:v>3015</x:v>
      </x:c>
      <x:c r="F726" s="8" t="n">
        <x:v>2111</x:v>
      </x:c>
    </x:row>
    <x:row r="727" ht="23" customHeight="1">
      <x:c r="A727" s="2" t="str">
        <x:v>Imports</x:v>
      </x:c>
      <x:c r="B727" s="2" t="n">
        <x:v>723</x:v>
      </x:c>
      <x:c r="C727" s="2" t="str">
        <x:v>Furniture ----     </x:v>
      </x:c>
      <x:c r="D727" s="2" t="str">
        <x:v>"</x:v>
      </x:c>
      <x:c r="E727" s="8" t="n">
        <x:v>103460</x:v>
      </x:c>
      <x:c r="F727" s="8" t="n">
        <x:v>362110</x:v>
      </x:c>
    </x:row>
    <x:row r="728" ht="23" customHeight="1">
      <x:c r="A728" s="2" t="str">
        <x:v>Imports</x:v>
      </x:c>
      <x:c r="B728" s="2" t="n">
        <x:v>724</x:v>
      </x:c>
      <x:c r="C728" s="2" t="str">
        <x:v>Wooden Manufactures, unclassified ----     </x:v>
      </x:c>
      <x:c r="D728" s="2" t="str">
        <x:v>"</x:v>
      </x:c>
      <x:c r="E728" s="8" t="n">
        <x:v>26253</x:v>
      </x:c>
      <x:c r="F728" s="8" t="n">
        <x:v>17064</x:v>
      </x:c>
    </x:row>
    <x:row r="729" ht="23" customHeight="1">
      <x:c r="A729" s="2" t="str">
        <x:v>Imports</x:v>
      </x:c>
      <x:c r="B729" s="2" t="n">
        <x:v>725</x:v>
      </x:c>
      <x:c r="C729" s="2" t="str">
        <x:v>     </x:v>
      </x:c>
      <x:c r="D729" s="2"/>
      <x:c r="E729" s="8"/>
      <x:c r="F729" s="8"/>
    </x:row>
    <x:row r="730" ht="23" customHeight="1">
      <x:c r="A730" s="2" t="str">
        <x:v>Imports</x:v>
      </x:c>
      <x:c r="B730" s="2" t="n">
        <x:v>726</x:v>
      </x:c>
      <x:c r="C730" s="2" t="str">
        <x:v>     </x:v>
      </x:c>
      <x:c r="D730" s="2"/>
      <x:c r="E730" s="8"/>
      <x:c r="F730" s="8"/>
    </x:row>
    <x:row r="731" ht="23" customHeight="1">
      <x:c r="A731" s="2" t="str">
        <x:v>Imports</x:v>
      </x:c>
      <x:c r="B731" s="2" t="n">
        <x:v>727</x:v>
      </x:c>
      <x:c r="C731" s="2" t="str">
        <x:v>     </x:v>
      </x:c>
      <x:c r="D731" s="2"/>
      <x:c r="E731" s="8"/>
      <x:c r="F731" s="8"/>
    </x:row>
    <x:row r="732" ht="23" customHeight="1">
      <x:c r="A732" s="2" t="str">
        <x:v>Imports</x:v>
      </x:c>
      <x:c r="B732" s="2" t="n">
        <x:v>728</x:v>
      </x:c>
      <x:c r="C732" s="2" t="str">
        <x:v>85. XYLONITE ----     </x:v>
      </x:c>
      <x:c r="D732" s="2" t="str">
        <x:v>"</x:v>
      </x:c>
      <x:c r="E732" s="8" t="n">
        <x:v>25</x:v>
      </x:c>
      <x:c r="F732" s="8" t="n">
        <x:v>665</x:v>
      </x:c>
    </x:row>
    <x:row r="733" ht="23" customHeight="1">
      <x:c r="A733" s="2" t="str">
        <x:v>Imports</x:v>
      </x:c>
      <x:c r="B733" s="2" t="n">
        <x:v>729</x:v>
      </x:c>
      <x:c r="C733" s="2" t="str">
        <x:v>     </x:v>
      </x:c>
      <x:c r="D733" s="2"/>
      <x:c r="E733" s="8"/>
      <x:c r="F733" s="8"/>
    </x:row>
    <x:row r="734" ht="23" customHeight="1">
      <x:c r="A734" s="2" t="str">
        <x:v>Imports</x:v>
      </x:c>
      <x:c r="B734" s="2" t="n">
        <x:v>730</x:v>
      </x:c>
      <x:c r="C734" s="2" t="str">
        <x:v>     </x:v>
      </x:c>
      <x:c r="D734" s="2"/>
      <x:c r="E734" s="8"/>
      <x:c r="F734" s="8"/>
    </x:row>
    <x:row r="735" ht="23" customHeight="1">
      <x:c r="A735" s="2" t="str">
        <x:v>Imports</x:v>
      </x:c>
      <x:c r="B735" s="2" t="n">
        <x:v>731</x:v>
      </x:c>
      <x:c r="C735" s="2" t="str">
        <x:v>     </x:v>
      </x:c>
      <x:c r="D735" s="2"/>
      <x:c r="E735" s="8"/>
      <x:c r="F735" s="8"/>
    </x:row>
    <x:row r="736" ht="23" customHeight="1">
      <x:c r="A736" s="2" t="str">
        <x:v>Imports</x:v>
      </x:c>
      <x:c r="B736" s="2" t="n">
        <x:v>732</x:v>
      </x:c>
      <x:c r="C736" s="2" t="str">
        <x:v>     </x:v>
      </x:c>
      <x:c r="D736" s="2"/>
      <x:c r="E736" s="8"/>
      <x:c r="F736" s="8"/>
    </x:row>
    <x:row r="737" ht="23" customHeight="1">
      <x:c r="A737" s="2" t="str">
        <x:v>Imports</x:v>
      </x:c>
      <x:c r="B737" s="2" t="n">
        <x:v>733</x:v>
      </x:c>
      <x:c r="C737" s="2" t="str">
        <x:v>86. YEAST ----     </x:v>
      </x:c>
      <x:c r="D737" s="2" t="str">
        <x:v>"</x:v>
      </x:c>
      <x:c r="E737" s="8" t="n">
        <x:v>10657</x:v>
      </x:c>
      <x:c r="F737" s="8" t="n">
        <x:v>22380</x:v>
      </x:c>
    </x:row>
    <x:row r="738" ht="23" customHeight="1">
      <x:c r="A738" s="2" t="str">
        <x:v>Exports</x:v>
      </x:c>
      <x:c r="B738" s="2" t="n">
        <x:v>1</x:v>
      </x:c>
      <x:c r="C738" s="2" t="str">
        <x:v>EXPORTS</x:v>
      </x:c>
      <x:c r="D738" s="2"/>
      <x:c r="E738" s="8"/>
      <x:c r="F738" s="8"/>
    </x:row>
    <x:row r="739" ht="70" customHeight="1">
      <x:c r="A739" s="2" t="str">
        <x:v>Exports</x:v>
      </x:c>
      <x:c r="B739" s="2" t="n">
        <x:v>2</x:v>
      </x:c>
      <x:c r="C739" s="10" t="str">
        <x:v>TABLE IV. - COMPARATIVE STATEMENT SHOWING the TOTAL QUANTITIES and ESTIMATED VALUE of GOODS and LIVE STOCK EXPORTED FROM IRELAND in the YEAR 1904</x:v>
      </x:c>
      <x:c r="D739" s="2"/>
      <x:c r="E739" s="8"/>
      <x:c r="F739" s="8"/>
    </x:row>
    <x:row r="740" ht="70" customHeight="1">
      <x:c r="A740" s="2" t="str">
        <x:v>Exports</x:v>
      </x:c>
      <x:c r="B740" s="2" t="n">
        <x:v>3</x:v>
      </x:c>
      <x:c r="C740" s="10" t="str">
        <x:v>(1905; 1907 Vol. Lxxxi. Pages 128 - 136).</x:v>
      </x:c>
      <x:c r="D740" s="2"/>
      <x:c r="E740" s="8"/>
      <x:c r="F740" s="8"/>
    </x:row>
    <x:row r="741" ht="23" customHeight="1">
      <x:c r="A741" s="2" t="str">
        <x:v>Exports</x:v>
      </x:c>
      <x:c r="B741" s="2" t="n">
        <x:v>4</x:v>
      </x:c>
      <x:c r="C741" s="2"/>
      <x:c r="D741" s="2"/>
      <x:c r="E741" s="8"/>
      <x:c r="F741" s="8"/>
    </x:row>
    <x:row r="742" ht="23" customHeight="1">
      <x:c r="A742" s="2" t="str">
        <x:v>Exports</x:v>
      </x:c>
      <x:c r="B742" s="2" t="n">
        <x:v>5</x:v>
      </x:c>
      <x:c r="C742" s="2"/>
      <x:c r="D742" s="2"/>
      <x:c r="E742" s="8"/>
      <x:c r="F742" s="8"/>
    </x:row>
    <x:row r="743" ht="23" customHeight="1">
      <x:c r="A743" s="2" t="str">
        <x:v>Exports</x:v>
      </x:c>
      <x:c r="B743" s="2" t="n">
        <x:v>6</x:v>
      </x:c>
      <x:c r="C743" s="2"/>
      <x:c r="D743" s="2"/>
      <x:c r="E743" s="8"/>
      <x:c r="F743" s="8"/>
    </x:row>
    <x:row r="744" ht="23" customHeight="1">
      <x:c r="A744" s="2" t="str">
        <x:v>Exports</x:v>
      </x:c>
      <x:c r="B744" s="2" t="n">
        <x:v>7</x:v>
      </x:c>
      <x:c r="C744" s="2"/>
      <x:c r="D744" s="2" t="str">
        <x:v>Unit of Quantity</x:v>
      </x:c>
      <x:c r="E744" s="8" t="str">
        <x:v>Quantity (1904)</x:v>
      </x:c>
      <x:c r="F744" s="8" t="str">
        <x:v>Value (1904)</x:v>
      </x:c>
    </x:row>
    <x:row r="745" ht="23" customHeight="1">
      <x:c r="A745" s="2" t="str">
        <x:v>Exports</x:v>
      </x:c>
      <x:c r="B745" s="2" t="n">
        <x:v>8</x:v>
      </x:c>
      <x:c r="C745" s="2"/>
      <x:c r="D745" s="2"/>
      <x:c r="E745" s="8"/>
      <x:c r="F745" s="8" t="str">
        <x:v>¬£</x:v>
      </x:c>
    </x:row>
    <x:row r="746" ht="23" customHeight="1">
      <x:c r="A746" s="2" t="str">
        <x:v>Exports</x:v>
      </x:c>
      <x:c r="B746" s="2" t="n">
        <x:v>9</x:v>
      </x:c>
      <x:c r="C746" s="2"/>
      <x:c r="D746" s="2"/>
      <x:c r="E746" s="8"/>
      <x:c r="F746" s="8"/>
    </x:row>
    <x:row r="747" ht="23" customHeight="1">
      <x:c r="A747" s="2" t="str">
        <x:v>Exports</x:v>
      </x:c>
      <x:c r="B747" s="2" t="n">
        <x:v>10</x:v>
      </x:c>
      <x:c r="C747" s="2"/>
      <x:c r="D747" s="2"/>
      <x:c r="E747" s="8"/>
      <x:c r="F747" s="8"/>
    </x:row>
    <x:row r="748" ht="23" customHeight="1">
      <x:c r="A748" s="2" t="str">
        <x:v>Exports</x:v>
      </x:c>
      <x:c r="B748" s="2" t="n">
        <x:v>11</x:v>
      </x:c>
      <x:c r="C748" s="2"/>
      <x:c r="D748" s="2"/>
      <x:c r="E748" s="8"/>
      <x:c r="F748" s="8"/>
    </x:row>
    <x:row r="749" ht="23" customHeight="1">
      <x:c r="A749" s="2" t="str">
        <x:v>Exports</x:v>
      </x:c>
      <x:c r="B749" s="2" t="n">
        <x:v>12</x:v>
      </x:c>
      <x:c r="C749" s="2" t="str">
        <x:v>87. AERATED and MINERAL WATERS -----     </x:v>
      </x:c>
      <x:c r="D749" s="2" t="str">
        <x:v>cwts.</x:v>
      </x:c>
      <x:c r="E749" s="8" t="n">
        <x:v>244095</x:v>
      </x:c>
      <x:c r="F749" s="8" t="n">
        <x:v>195276</x:v>
      </x:c>
    </x:row>
    <x:row r="750" ht="23" customHeight="1">
      <x:c r="A750" s="2" t="str">
        <x:v>Exports</x:v>
      </x:c>
      <x:c r="B750" s="2" t="n">
        <x:v>13</x:v>
      </x:c>
      <x:c r="C750" s="2" t="str">
        <x:v>     </x:v>
      </x:c>
      <x:c r="D750" s="2"/>
      <x:c r="E750" s="8"/>
      <x:c r="F750" s="8"/>
    </x:row>
    <x:row r="751" ht="23" customHeight="1">
      <x:c r="A751" s="2" t="str">
        <x:v>Exports</x:v>
      </x:c>
      <x:c r="B751" s="2" t="n">
        <x:v>14</x:v>
      </x:c>
      <x:c r="C751" s="2" t="str">
        <x:v>     </x:v>
      </x:c>
      <x:c r="D751" s="2"/>
      <x:c r="E751" s="8"/>
      <x:c r="F751" s="8"/>
    </x:row>
    <x:row r="752" ht="23" customHeight="1">
      <x:c r="A752" s="2" t="str">
        <x:v>Exports</x:v>
      </x:c>
      <x:c r="B752" s="2" t="n">
        <x:v>15</x:v>
      </x:c>
      <x:c r="C752" s="2" t="str">
        <x:v>     </x:v>
      </x:c>
      <x:c r="D752" s="2"/>
      <x:c r="E752" s="8"/>
      <x:c r="F752" s="8"/>
    </x:row>
    <x:row r="753" ht="23" customHeight="1">
      <x:c r="A753" s="2" t="str">
        <x:v>Exports</x:v>
      </x:c>
      <x:c r="B753" s="2" t="n">
        <x:v>16</x:v>
      </x:c>
      <x:c r="C753" s="2" t="str">
        <x:v>88. ALES,SPIRITS,WINES,and OTHER BEVERAGES -     </x:v>
      </x:c>
      <x:c r="D753" s="2"/>
      <x:c r="E753" s="8"/>
      <x:c r="F753" s="8"/>
    </x:row>
    <x:row r="754" ht="23" customHeight="1">
      <x:c r="A754" s="2" t="str">
        <x:v>Exports</x:v>
      </x:c>
      <x:c r="B754" s="2" t="n">
        <x:v>17</x:v>
      </x:c>
      <x:c r="C754" s="2" t="str">
        <x:v>Ale and Beer ----     </x:v>
      </x:c>
      <x:c r="D754" s="2" t="str">
        <x:v>barrels.</x:v>
      </x:c>
      <x:c r="E754" s="8" t="n">
        <x:v>1426</x:v>
      </x:c>
      <x:c r="F754" s="8" t="n">
        <x:v>4753</x:v>
      </x:c>
    </x:row>
    <x:row r="755" ht="23" customHeight="1">
      <x:c r="A755" s="2" t="str">
        <x:v>Exports</x:v>
      </x:c>
      <x:c r="B755" s="2" t="n">
        <x:v>18</x:v>
      </x:c>
      <x:c r="C755" s="2" t="str">
        <x:v>Porter ----     </x:v>
      </x:c>
      <x:c r="D755" s="2" t="str">
        <x:v>hhds.</x:v>
      </x:c>
      <x:c r="E755" s="8" t="n">
        <x:v>514713</x:v>
      </x:c>
      <x:c r="F755" s="8" t="n">
        <x:v>1647082</x:v>
      </x:c>
    </x:row>
    <x:row r="756" ht="23" customHeight="1">
      <x:c r="A756" s="2" t="str">
        <x:v>Exports</x:v>
      </x:c>
      <x:c r="B756" s="2" t="n">
        <x:v>19</x:v>
      </x:c>
      <x:c r="C756" s="2" t="str">
        <x:v>Home Made Spirits (Whiskey&amp;c.) ----     </x:v>
      </x:c>
      <x:c r="D756" s="2" t="str">
        <x:v>proof galls.</x:v>
      </x:c>
      <x:c r="E756" s="8" t="n">
        <x:v>8637031</x:v>
      </x:c>
      <x:c r="F756" s="8" t="n">
        <x:v>2343496</x:v>
      </x:c>
    </x:row>
    <x:row r="757" ht="23" customHeight="1">
      <x:c r="A757" s="2" t="str">
        <x:v>Exports</x:v>
      </x:c>
      <x:c r="B757" s="2" t="n">
        <x:v>20</x:v>
      </x:c>
      <x:c r="C757" s="2" t="str">
        <x:v>Foreign and Colonial Spirits (Brandy,Gin,Rum,&amp;c.) ----     </x:v>
      </x:c>
      <x:c r="D757" s="2" t="str">
        <x:v>"     "</x:v>
      </x:c>
      <x:c r="E757" s="8" t="n">
        <x:v>39186</x:v>
      </x:c>
      <x:c r="F757" s="8" t="n">
        <x:v>8000</x:v>
      </x:c>
    </x:row>
    <x:row r="758" ht="23" customHeight="1">
      <x:c r="A758" s="2" t="str">
        <x:v>Exports</x:v>
      </x:c>
      <x:c r="B758" s="2" t="n">
        <x:v>21</x:v>
      </x:c>
      <x:c r="C758" s="2" t="str">
        <x:v>Wine ----     </x:v>
      </x:c>
      <x:c r="D758" s="2" t="str">
        <x:v>galls.</x:v>
      </x:c>
      <x:c r="E758" s="8" t="n">
        <x:v>82330</x:v>
      </x:c>
      <x:c r="F758" s="8" t="n">
        <x:v>25385</x:v>
      </x:c>
    </x:row>
    <x:row r="759" ht="23" customHeight="1">
      <x:c r="A759" s="2" t="str">
        <x:v>Exports</x:v>
      </x:c>
      <x:c r="B759" s="2" t="n">
        <x:v>22</x:v>
      </x:c>
      <x:c r="C759" s="2" t="str">
        <x:v>Hop Bitters ----     </x:v>
      </x:c>
      <x:c r="D759" s="2" t="str">
        <x:v>"</x:v>
      </x:c>
      <x:c r="E759" s="8" t="n">
        <x:v>1431</x:v>
      </x:c>
      <x:c r="F759" s="8" t="n">
        <x:v>54</x:v>
      </x:c>
    </x:row>
    <x:row r="760" ht="23" customHeight="1">
      <x:c r="A760" s="2" t="str">
        <x:v>Exports</x:v>
      </x:c>
      <x:c r="B760" s="2" t="n">
        <x:v>23</x:v>
      </x:c>
      <x:c r="C760" s="2" t="str">
        <x:v>Cordials ----     </x:v>
      </x:c>
      <x:c r="D760" s="2" t="str">
        <x:v>"</x:v>
      </x:c>
      <x:c r="E760" s="8" t="n">
        <x:v>6084</x:v>
      </x:c>
      <x:c r="F760" s="8" t="n">
        <x:v>456</x:v>
      </x:c>
    </x:row>
    <x:row r="761" ht="23" customHeight="1">
      <x:c r="A761" s="2" t="str">
        <x:v>Exports</x:v>
      </x:c>
      <x:c r="B761" s="2" t="n">
        <x:v>24</x:v>
      </x:c>
      <x:c r="C761" s="2" t="str">
        <x:v>Lime Juice ----     </x:v>
      </x:c>
      <x:c r="D761" s="2" t="str">
        <x:v>"</x:v>
      </x:c>
      <x:c r="E761" s="8" t="n">
        <x:v>1233</x:v>
      </x:c>
      <x:c r="F761" s="8" t="n">
        <x:v>93</x:v>
      </x:c>
    </x:row>
    <x:row r="762" ht="23" customHeight="1">
      <x:c r="A762" s="2" t="str">
        <x:v>Exports</x:v>
      </x:c>
      <x:c r="B762" s="2" t="n">
        <x:v>25</x:v>
      </x:c>
      <x:c r="C762" s="2" t="str">
        <x:v>     </x:v>
      </x:c>
      <x:c r="D762" s="2"/>
      <x:c r="E762" s="8"/>
      <x:c r="F762" s="8"/>
    </x:row>
    <x:row r="763" ht="23" customHeight="1">
      <x:c r="A763" s="2" t="str">
        <x:v>Exports</x:v>
      </x:c>
      <x:c r="B763" s="2" t="n">
        <x:v>26</x:v>
      </x:c>
      <x:c r="C763" s="2" t="str">
        <x:v>     </x:v>
      </x:c>
      <x:c r="D763" s="2"/>
      <x:c r="E763" s="8"/>
      <x:c r="F763" s="8"/>
    </x:row>
    <x:row r="764" ht="23" customHeight="1">
      <x:c r="A764" s="2" t="str">
        <x:v>Exports</x:v>
      </x:c>
      <x:c r="B764" s="2" t="n">
        <x:v>27</x:v>
      </x:c>
      <x:c r="C764" s="2" t="str">
        <x:v>     </x:v>
      </x:c>
      <x:c r="D764" s="2"/>
      <x:c r="E764" s="8"/>
      <x:c r="F764" s="8"/>
    </x:row>
    <x:row r="765" ht="23" customHeight="1">
      <x:c r="A765" s="2" t="str">
        <x:v>Exports</x:v>
      </x:c>
      <x:c r="B765" s="2" t="n">
        <x:v>28</x:v>
      </x:c>
      <x:c r="C765" s="2" t="str">
        <x:v>89. ANIMALS -     </x:v>
      </x:c>
      <x:c r="D765" s="2"/>
      <x:c r="E765" s="8"/>
      <x:c r="F765" s="8"/>
    </x:row>
    <x:row r="766" ht="23" customHeight="1">
      <x:c r="A766" s="2" t="str">
        <x:v>Exports</x:v>
      </x:c>
      <x:c r="B766" s="2" t="n">
        <x:v>29</x:v>
      </x:c>
      <x:c r="C766" s="2" t="str">
        <x:v>Cattle, Fat ----     </x:v>
      </x:c>
      <x:c r="D766" s="2" t="str">
        <x:v>No.</x:v>
      </x:c>
      <x:c r="E766" s="8" t="n">
        <x:v>232286</x:v>
      </x:c>
      <x:c r="F766" s="8" t="n">
        <x:v>3844333</x:v>
      </x:c>
    </x:row>
    <x:row r="767" ht="23" customHeight="1">
      <x:c r="A767" s="2" t="str">
        <x:v>Exports</x:v>
      </x:c>
      <x:c r="B767" s="2" t="n">
        <x:v>30</x:v>
      </x:c>
      <x:c r="C767" s="2" t="str">
        <x:v>Cattle, Store ----     </x:v>
      </x:c>
      <x:c r="D767" s="2" t="str">
        <x:v>"</x:v>
      </x:c>
      <x:c r="E767" s="8" t="n">
        <x:v>471047</x:v>
      </x:c>
      <x:c r="F767" s="8" t="n">
        <x:v>5120281</x:v>
      </x:c>
    </x:row>
    <x:row r="768" ht="23" customHeight="1">
      <x:c r="A768" s="2" t="str">
        <x:v>Exports</x:v>
      </x:c>
      <x:c r="B768" s="2" t="n">
        <x:v>31</x:v>
      </x:c>
      <x:c r="C768" s="2" t="str">
        <x:v>Cattle, Other ----     </x:v>
      </x:c>
      <x:c r="D768" s="2" t="str">
        <x:v>"</x:v>
      </x:c>
      <x:c r="E768" s="8" t="n">
        <x:v>6896</x:v>
      </x:c>
      <x:c r="F768" s="8" t="n">
        <x:v>20688</x:v>
      </x:c>
    </x:row>
    <x:row r="769" ht="23" customHeight="1">
      <x:c r="A769" s="2" t="str">
        <x:v>Exports</x:v>
      </x:c>
      <x:c r="B769" s="2" t="n">
        <x:v>32</x:v>
      </x:c>
      <x:c r="C769" s="2" t="str">
        <x:v>Calves ----     </x:v>
      </x:c>
      <x:c r="D769" s="2" t="str">
        <x:v>"</x:v>
      </x:c>
      <x:c r="E769" s="8" t="n">
        <x:v>62968</x:v>
      </x:c>
      <x:c r="F769" s="8" t="n">
        <x:v>327434</x:v>
      </x:c>
    </x:row>
    <x:row r="770" ht="23" customHeight="1">
      <x:c r="A770" s="2" t="str">
        <x:v>Exports</x:v>
      </x:c>
      <x:c r="B770" s="2" t="n">
        <x:v>33</x:v>
      </x:c>
      <x:c r="C770" s="2" t="str">
        <x:v>Goats ----     </x:v>
      </x:c>
      <x:c r="D770" s="2" t="str">
        <x:v>"</x:v>
      </x:c>
      <x:c r="E770" s="8" t="n">
        <x:v>2020</x:v>
      </x:c>
      <x:c r="F770" s="8" t="n">
        <x:v>606</x:v>
      </x:c>
    </x:row>
    <x:row r="771" ht="23" customHeight="1">
      <x:c r="A771" s="2" t="str">
        <x:v>Exports</x:v>
      </x:c>
      <x:c r="B771" s="2" t="n">
        <x:v>34</x:v>
      </x:c>
      <x:c r="C771" s="2" t="str">
        <x:v>Sheep ----     </x:v>
      </x:c>
      <x:c r="D771" s="2" t="str">
        <x:v>"</x:v>
      </x:c>
      <x:c r="E771" s="8" t="n">
        <x:v>373157</x:v>
      </x:c>
      <x:c r="F771" s="8" t="n">
        <x:v>731388</x:v>
      </x:c>
    </x:row>
    <x:row r="772" ht="23" customHeight="1">
      <x:c r="A772" s="2" t="str">
        <x:v>Exports</x:v>
      </x:c>
      <x:c r="B772" s="2" t="n">
        <x:v>35</x:v>
      </x:c>
      <x:c r="C772" s="2" t="str">
        <x:v>Lambs ----     </x:v>
      </x:c>
      <x:c r="D772" s="2" t="str">
        <x:v>"</x:v>
      </x:c>
      <x:c r="E772" s="8" t="n">
        <x:v>368436</x:v>
      </x:c>
      <x:c r="F772" s="8" t="n">
        <x:v>589498</x:v>
      </x:c>
    </x:row>
    <x:row r="773" ht="23" customHeight="1">
      <x:c r="A773" s="2" t="str">
        <x:v>Exports</x:v>
      </x:c>
      <x:c r="B773" s="2" t="n">
        <x:v>36</x:v>
      </x:c>
      <x:c r="C773" s="2" t="str">
        <x:v>Swine, Fat ----     </x:v>
      </x:c>
      <x:c r="D773" s="2" t="str">
        <x:v>"</x:v>
      </x:c>
      <x:c r="E773" s="8" t="n">
        <x:v>478922</x:v>
      </x:c>
      <x:c r="F773" s="8" t="n">
        <x:v>1676227</x:v>
      </x:c>
    </x:row>
    <x:row r="774" ht="23" customHeight="1">
      <x:c r="A774" s="2" t="str">
        <x:v>Exports</x:v>
      </x:c>
      <x:c r="B774" s="2" t="n">
        <x:v>37</x:v>
      </x:c>
      <x:c r="C774" s="2" t="str">
        <x:v>Swine, Store ----     </x:v>
      </x:c>
      <x:c r="D774" s="2" t="str">
        <x:v>"</x:v>
      </x:c>
      <x:c r="E774" s="8" t="n">
        <x:v>26325</x:v>
      </x:c>
      <x:c r="F774" s="8" t="n">
        <x:v>65812</x:v>
      </x:c>
    </x:row>
    <x:row r="775" ht="23" customHeight="1">
      <x:c r="A775" s="2" t="str">
        <x:v>Exports</x:v>
      </x:c>
      <x:c r="B775" s="2" t="n">
        <x:v>38</x:v>
      </x:c>
      <x:c r="C775" s="2" t="str">
        <x:v>Horses - Stallions -----     </x:v>
      </x:c>
      <x:c r="D775" s="2" t="str">
        <x:v>"</x:v>
      </x:c>
      <x:c r="E775" s="8" t="n">
        <x:v>235</x:v>
      </x:c>
      <x:c r="F775" s="8" t="n">
        <x:v>58750</x:v>
      </x:c>
    </x:row>
    <x:row r="776" ht="23" customHeight="1">
      <x:c r="A776" s="2" t="str">
        <x:v>Exports</x:v>
      </x:c>
      <x:c r="B776" s="2" t="n">
        <x:v>39</x:v>
      </x:c>
      <x:c r="C776" s="2" t="str">
        <x:v>"       - Mares ----     </x:v>
      </x:c>
      <x:c r="D776" s="2" t="str">
        <x:v>"</x:v>
      </x:c>
      <x:c r="E776" s="8" t="n">
        <x:v>12944</x:v>
      </x:c>
      <x:c r="F776" s="8" t="n">
        <x:v>582480</x:v>
      </x:c>
    </x:row>
    <x:row r="777" ht="23" customHeight="1">
      <x:c r="A777" s="2" t="str">
        <x:v>Exports</x:v>
      </x:c>
      <x:c r="B777" s="2" t="n">
        <x:v>40</x:v>
      </x:c>
      <x:c r="C777" s="2" t="str">
        <x:v>"       - Geldings ----     </x:v>
      </x:c>
      <x:c r="D777" s="2" t="str">
        <x:v>"</x:v>
      </x:c>
      <x:c r="E777" s="8" t="n">
        <x:v>14443</x:v>
      </x:c>
      <x:c r="F777" s="8" t="n">
        <x:v>649935</x:v>
      </x:c>
    </x:row>
    <x:row r="778" ht="23" customHeight="1">
      <x:c r="A778" s="2" t="str">
        <x:v>Exports</x:v>
      </x:c>
      <x:c r="B778" s="2" t="n">
        <x:v>41</x:v>
      </x:c>
      <x:c r="C778" s="2" t="str">
        <x:v>Mules and Jennets     </x:v>
      </x:c>
      <x:c r="D778" s="2" t="str">
        <x:v>"</x:v>
      </x:c>
      <x:c r="E778" s="8" t="n">
        <x:v>13</x:v>
      </x:c>
      <x:c r="F778" s="8" t="n">
        <x:v>156</x:v>
      </x:c>
    </x:row>
    <x:row r="779" ht="23" customHeight="1">
      <x:c r="A779" s="2" t="str">
        <x:v>Exports</x:v>
      </x:c>
      <x:c r="B779" s="2" t="n">
        <x:v>42</x:v>
      </x:c>
      <x:c r="C779" s="2" t="str">
        <x:v>Asses ----     </x:v>
      </x:c>
      <x:c r="D779" s="2" t="str">
        <x:v>"</x:v>
      </x:c>
      <x:c r="E779" s="8" t="n">
        <x:v>1221</x:v>
      </x:c>
      <x:c r="F779" s="8" t="n">
        <x:v>3053</x:v>
      </x:c>
    </x:row>
    <x:row r="780" ht="23" customHeight="1">
      <x:c r="A780" s="2" t="str">
        <x:v>Exports</x:v>
      </x:c>
      <x:c r="B780" s="2" t="n">
        <x:v>43</x:v>
      </x:c>
      <x:c r="C780" s="2" t="str">
        <x:v>     </x:v>
      </x:c>
      <x:c r="D780" s="2"/>
      <x:c r="E780" s="8"/>
      <x:c r="F780" s="8"/>
    </x:row>
    <x:row r="781" ht="23" customHeight="1">
      <x:c r="A781" s="2" t="str">
        <x:v>Exports</x:v>
      </x:c>
      <x:c r="B781" s="2" t="n">
        <x:v>44</x:v>
      </x:c>
      <x:c r="C781" s="2" t="str">
        <x:v>     </x:v>
      </x:c>
      <x:c r="D781" s="2"/>
      <x:c r="E781" s="8"/>
      <x:c r="F781" s="8"/>
    </x:row>
    <x:row r="782" ht="23" customHeight="1">
      <x:c r="A782" s="2" t="str">
        <x:v>Exports</x:v>
      </x:c>
      <x:c r="B782" s="2" t="n">
        <x:v>45</x:v>
      </x:c>
      <x:c r="C782" s="2" t="str">
        <x:v>     </x:v>
      </x:c>
      <x:c r="D782" s="2"/>
      <x:c r="E782" s="8"/>
      <x:c r="F782" s="8"/>
    </x:row>
    <x:row r="783" ht="23" customHeight="1">
      <x:c r="A783" s="2" t="str">
        <x:v>Exports</x:v>
      </x:c>
      <x:c r="B783" s="2" t="n">
        <x:v>46</x:v>
      </x:c>
      <x:c r="C783" s="2" t="str">
        <x:v>90. ARMS and AMMUNITION -     </x:v>
      </x:c>
      <x:c r="D783" s="2"/>
      <x:c r="E783" s="8"/>
      <x:c r="F783" s="8"/>
    </x:row>
    <x:row r="784" ht="23" customHeight="1">
      <x:c r="A784" s="2" t="str">
        <x:v>Exports</x:v>
      </x:c>
      <x:c r="B784" s="2" t="n">
        <x:v>47</x:v>
      </x:c>
      <x:c r="C784" s="2" t="str">
        <x:v>Guns and Rifles ----     </x:v>
      </x:c>
      <x:c r="D784" s="2" t="str">
        <x:v>cwts.</x:v>
      </x:c>
      <x:c r="E784" s="8" t="n">
        <x:v>159</x:v>
      </x:c>
      <x:c r="F784" s="8" t="n">
        <x:v>9540</x:v>
      </x:c>
    </x:row>
    <x:row r="785" ht="23" customHeight="1">
      <x:c r="A785" s="2" t="str">
        <x:v>Exports</x:v>
      </x:c>
      <x:c r="B785" s="2" t="n">
        <x:v>48</x:v>
      </x:c>
      <x:c r="C785" s="2" t="str">
        <x:v>Gunpowder ----     </x:v>
      </x:c>
      <x:c r="D785" s="2" t="str">
        <x:v>"</x:v>
      </x:c>
      <x:c r="E785" s="8" t="n">
        <x:v>345</x:v>
      </x:c>
      <x:c r="F785" s="8" t="n">
        <x:v>772</x:v>
      </x:c>
    </x:row>
    <x:row r="786" ht="23" customHeight="1">
      <x:c r="A786" s="2" t="str">
        <x:v>Exports</x:v>
      </x:c>
      <x:c r="B786" s="2" t="n">
        <x:v>49</x:v>
      </x:c>
      <x:c r="C786" s="2" t="str">
        <x:v>Blasting Gelatine ----     </x:v>
      </x:c>
      <x:c r="D786" s="2" t="str">
        <x:v>"</x:v>
      </x:c>
      <x:c r="E786" s="8" t="n">
        <x:v>13000</x:v>
      </x:c>
      <x:c r="F786" s="8" t="n">
        <x:v>65520</x:v>
      </x:c>
    </x:row>
    <x:row r="787" ht="23" customHeight="1">
      <x:c r="A787" s="2" t="str">
        <x:v>Exports</x:v>
      </x:c>
      <x:c r="B787" s="2" t="n">
        <x:v>50</x:v>
      </x:c>
      <x:c r="C787" s="2" t="str">
        <x:v>Gelignite, Dynamite,&amp;c. ----     </x:v>
      </x:c>
      <x:c r="D787" s="2" t="str">
        <x:v>"</x:v>
      </x:c>
      <x:c r="E787" s="8" t="n">
        <x:v>10400</x:v>
      </x:c>
      <x:c r="F787" s="8" t="n">
        <x:v>37425</x:v>
      </x:c>
    </x:row>
    <x:row r="788" ht="23" customHeight="1">
      <x:c r="A788" s="2" t="str">
        <x:v>Exports</x:v>
      </x:c>
      <x:c r="B788" s="2" t="n">
        <x:v>51</x:v>
      </x:c>
      <x:c r="C788" s="2" t="str">
        <x:v>Gun Cotton ----     </x:v>
      </x:c>
      <x:c r="D788" s="2" t="str">
        <x:v>"</x:v>
      </x:c>
      <x:c r="E788" s="8" t="n">
        <x:v>140</x:v>
      </x:c>
      <x:c r="F788" s="8" t="n">
        <x:v>1176</x:v>
      </x:c>
    </x:row>
    <x:row r="789" ht="23" customHeight="1">
      <x:c r="A789" s="2" t="str">
        <x:v>Exports</x:v>
      </x:c>
      <x:c r="B789" s="2" t="n">
        <x:v>52</x:v>
      </x:c>
      <x:c r="C789" s="2" t="str">
        <x:v>Collodion Cotton ----     </x:v>
      </x:c>
      <x:c r="D789" s="2" t="str">
        <x:v>"</x:v>
      </x:c>
      <x:c r="E789" s="8" t="n">
        <x:v>133</x:v>
      </x:c>
      <x:c r="F789" s="8" t="n">
        <x:v>1117</x:v>
      </x:c>
    </x:row>
    <x:row r="790" ht="23" customHeight="1">
      <x:c r="A790" s="2" t="str">
        <x:v>Exports</x:v>
      </x:c>
      <x:c r="B790" s="2" t="n">
        <x:v>53</x:v>
      </x:c>
      <x:c r="C790" s="2" t="str">
        <x:v>     </x:v>
      </x:c>
      <x:c r="D790" s="2"/>
      <x:c r="E790" s="8"/>
      <x:c r="F790" s="8"/>
    </x:row>
    <x:row r="791" ht="23" customHeight="1">
      <x:c r="A791" s="2" t="str">
        <x:v>Exports</x:v>
      </x:c>
      <x:c r="B791" s="2" t="n">
        <x:v>54</x:v>
      </x:c>
      <x:c r="C791" s="2" t="str">
        <x:v>     </x:v>
      </x:c>
      <x:c r="D791" s="2"/>
      <x:c r="E791" s="8"/>
      <x:c r="F791" s="8"/>
    </x:row>
    <x:row r="792" ht="23" customHeight="1">
      <x:c r="A792" s="2" t="str">
        <x:v>Exports</x:v>
      </x:c>
      <x:c r="B792" s="2" t="n">
        <x:v>55</x:v>
      </x:c>
      <x:c r="C792" s="2" t="str">
        <x:v>     </x:v>
      </x:c>
      <x:c r="D792" s="2"/>
      <x:c r="E792" s="8"/>
      <x:c r="F792" s="8"/>
    </x:row>
    <x:row r="793" ht="23" customHeight="1">
      <x:c r="A793" s="2" t="str">
        <x:v>Exports</x:v>
      </x:c>
      <x:c r="B793" s="2" t="n">
        <x:v>56</x:v>
      </x:c>
      <x:c r="C793" s="2" t="str">
        <x:v>91. ASBESTOS and NON-CONDUCTING MATERIALS -     </x:v>
      </x:c>
      <x:c r="D793" s="2"/>
      <x:c r="E793" s="8"/>
      <x:c r="F793" s="8"/>
    </x:row>
    <x:row r="794" ht="23" customHeight="1">
      <x:c r="A794" s="2" t="str">
        <x:v>Exports</x:v>
      </x:c>
      <x:c r="B794" s="2" t="n">
        <x:v>57</x:v>
      </x:c>
      <x:c r="C794" s="2" t="str">
        <x:v>Composition ----     </x:v>
      </x:c>
      <x:c r="D794" s="2" t="str">
        <x:v>"</x:v>
      </x:c>
      <x:c r="E794" s="8" t="n">
        <x:v>8182</x:v>
      </x:c>
      <x:c r="F794" s="8" t="n">
        <x:v>3273</x:v>
      </x:c>
    </x:row>
    <x:row r="795" ht="23" customHeight="1">
      <x:c r="A795" s="2" t="str">
        <x:v>Exports</x:v>
      </x:c>
      <x:c r="B795" s="2" t="n">
        <x:v>58</x:v>
      </x:c>
      <x:c r="C795" s="2" t="str">
        <x:v>Cotton Silicate ----     </x:v>
      </x:c>
      <x:c r="D795" s="2" t="str">
        <x:v>"</x:v>
      </x:c>
      <x:c r="E795" s="8" t="n">
        <x:v>25</x:v>
      </x:c>
      <x:c r="F795" s="8" t="n">
        <x:v>8</x:v>
      </x:c>
    </x:row>
    <x:row r="796" ht="23" customHeight="1">
      <x:c r="A796" s="2" t="str">
        <x:v>Exports</x:v>
      </x:c>
      <x:c r="B796" s="2" t="n">
        <x:v>59</x:v>
      </x:c>
      <x:c r="C796" s="2" t="str">
        <x:v>     </x:v>
      </x:c>
      <x:c r="D796" s="2"/>
      <x:c r="E796" s="8"/>
      <x:c r="F796" s="8"/>
    </x:row>
    <x:row r="797" ht="23" customHeight="1">
      <x:c r="A797" s="2" t="str">
        <x:v>Exports</x:v>
      </x:c>
      <x:c r="B797" s="2" t="n">
        <x:v>60</x:v>
      </x:c>
      <x:c r="C797" s="2" t="str">
        <x:v>     </x:v>
      </x:c>
      <x:c r="D797" s="2"/>
      <x:c r="E797" s="8"/>
      <x:c r="F797" s="8"/>
    </x:row>
    <x:row r="798" ht="23" customHeight="1">
      <x:c r="A798" s="2" t="str">
        <x:v>Exports</x:v>
      </x:c>
      <x:c r="B798" s="2" t="n">
        <x:v>61</x:v>
      </x:c>
      <x:c r="C798" s="2" t="str">
        <x:v>     </x:v>
      </x:c>
      <x:c r="D798" s="2"/>
      <x:c r="E798" s="8"/>
      <x:c r="F798" s="8"/>
    </x:row>
    <x:row r="799" ht="23" customHeight="1">
      <x:c r="A799" s="2" t="str">
        <x:v>Exports</x:v>
      </x:c>
      <x:c r="B799" s="2" t="n">
        <x:v>62</x:v>
      </x:c>
      <x:c r="C799" s="2" t="str">
        <x:v>92. ASPHALT and BITUMEN ---     </x:v>
      </x:c>
      <x:c r="D799" s="2" t="str">
        <x:v>tons.</x:v>
      </x:c>
      <x:c r="E799" s="8" t="n">
        <x:v>1791</x:v>
      </x:c>
      <x:c r="F799" s="8" t="n">
        <x:v>4478</x:v>
      </x:c>
    </x:row>
    <x:row r="800" ht="23" customHeight="1">
      <x:c r="A800" s="2" t="str">
        <x:v>Exports</x:v>
      </x:c>
      <x:c r="B800" s="2" t="n">
        <x:v>63</x:v>
      </x:c>
      <x:c r="C800" s="2" t="str">
        <x:v>     </x:v>
      </x:c>
      <x:c r="D800" s="2"/>
      <x:c r="E800" s="8"/>
      <x:c r="F800" s="8"/>
    </x:row>
    <x:row r="801" ht="23" customHeight="1">
      <x:c r="A801" s="2" t="str">
        <x:v>Exports</x:v>
      </x:c>
      <x:c r="B801" s="2" t="n">
        <x:v>64</x:v>
      </x:c>
      <x:c r="C801" s="2" t="str">
        <x:v>     </x:v>
      </x:c>
      <x:c r="D801" s="2"/>
      <x:c r="E801" s="8"/>
      <x:c r="F801" s="8"/>
    </x:row>
    <x:row r="802" ht="23" customHeight="1">
      <x:c r="A802" s="2" t="str">
        <x:v>Exports</x:v>
      </x:c>
      <x:c r="B802" s="2" t="n">
        <x:v>65</x:v>
      </x:c>
      <x:c r="C802" s="2" t="str">
        <x:v>     </x:v>
      </x:c>
      <x:c r="D802" s="2"/>
      <x:c r="E802" s="8"/>
      <x:c r="F802" s="8"/>
    </x:row>
    <x:row r="803" ht="23" customHeight="1">
      <x:c r="A803" s="2" t="str">
        <x:v>Exports</x:v>
      </x:c>
      <x:c r="B803" s="2" t="n">
        <x:v>66</x:v>
      </x:c>
      <x:c r="C803" s="2" t="str">
        <x:v>93. BEDS and BEDSTEADS ----     </x:v>
      </x:c>
      <x:c r="D803" s="2" t="str">
        <x:v>cwts.</x:v>
      </x:c>
      <x:c r="E803" s="8" t="n">
        <x:v>651</x:v>
      </x:c>
      <x:c r="F803" s="8" t="n">
        <x:v>846</x:v>
      </x:c>
    </x:row>
    <x:row r="804" ht="23" customHeight="1">
      <x:c r="A804" s="2" t="str">
        <x:v>Exports</x:v>
      </x:c>
      <x:c r="B804" s="2" t="n">
        <x:v>67</x:v>
      </x:c>
      <x:c r="C804" s="2" t="str">
        <x:v>"               "               , BEDDING ----     </x:v>
      </x:c>
      <x:c r="D804" s="2" t="str">
        <x:v>"</x:v>
      </x:c>
      <x:c r="E804" s="8" t="n">
        <x:v>295</x:v>
      </x:c>
      <x:c r="F804" s="8" t="n">
        <x:v>516</x:v>
      </x:c>
    </x:row>
    <x:row r="805" ht="23" customHeight="1">
      <x:c r="A805" s="2" t="str">
        <x:v>Exports</x:v>
      </x:c>
      <x:c r="B805" s="2" t="n">
        <x:v>68</x:v>
      </x:c>
      <x:c r="C805" s="2" t="str">
        <x:v>     </x:v>
      </x:c>
      <x:c r="D805" s="2"/>
      <x:c r="E805" s="8"/>
      <x:c r="F805" s="8"/>
    </x:row>
    <x:row r="806" ht="23" customHeight="1">
      <x:c r="A806" s="2" t="str">
        <x:v>Exports</x:v>
      </x:c>
      <x:c r="B806" s="2" t="n">
        <x:v>69</x:v>
      </x:c>
      <x:c r="C806" s="2" t="str">
        <x:v>     </x:v>
      </x:c>
      <x:c r="D806" s="2"/>
      <x:c r="E806" s="8"/>
      <x:c r="F806" s="8"/>
    </x:row>
    <x:row r="807" ht="23" customHeight="1">
      <x:c r="A807" s="2" t="str">
        <x:v>Exports</x:v>
      </x:c>
      <x:c r="B807" s="2" t="n">
        <x:v>70</x:v>
      </x:c>
      <x:c r="C807" s="2" t="str">
        <x:v>     </x:v>
      </x:c>
      <x:c r="D807" s="2"/>
      <x:c r="E807" s="8"/>
      <x:c r="F807" s="8"/>
    </x:row>
    <x:row r="808" ht="23" customHeight="1">
      <x:c r="A808" s="2" t="str">
        <x:v>Exports</x:v>
      </x:c>
      <x:c r="B808" s="2" t="n">
        <x:v>71</x:v>
      </x:c>
      <x:c r="C808" s="2" t="str">
        <x:v>94. BISCUITS ----     </x:v>
      </x:c>
      <x:c r="D808" s="2" t="str">
        <x:v>"</x:v>
      </x:c>
      <x:c r="E808" s="8" t="n">
        <x:v>228708</x:v>
      </x:c>
      <x:c r="F808" s="8" t="n">
        <x:v>285885</x:v>
      </x:c>
    </x:row>
    <x:row r="809" ht="23" customHeight="1">
      <x:c r="A809" s="2" t="str">
        <x:v>Exports</x:v>
      </x:c>
      <x:c r="B809" s="2" t="n">
        <x:v>72</x:v>
      </x:c>
      <x:c r="C809" s="2" t="str">
        <x:v>     </x:v>
      </x:c>
      <x:c r="D809" s="2"/>
      <x:c r="E809" s="8"/>
      <x:c r="F809" s="8"/>
    </x:row>
    <x:row r="810" ht="23" customHeight="1">
      <x:c r="A810" s="2" t="str">
        <x:v>Exports</x:v>
      </x:c>
      <x:c r="B810" s="2" t="n">
        <x:v>73</x:v>
      </x:c>
      <x:c r="C810" s="2" t="str">
        <x:v>     </x:v>
      </x:c>
      <x:c r="D810" s="2"/>
      <x:c r="E810" s="8"/>
      <x:c r="F810" s="8"/>
    </x:row>
    <x:row r="811" ht="23" customHeight="1">
      <x:c r="A811" s="2" t="str">
        <x:v>Exports</x:v>
      </x:c>
      <x:c r="B811" s="2" t="n">
        <x:v>74</x:v>
      </x:c>
      <x:c r="C811" s="2" t="str">
        <x:v>     </x:v>
      </x:c>
      <x:c r="D811" s="2"/>
      <x:c r="E811" s="8"/>
      <x:c r="F811" s="8"/>
    </x:row>
    <x:row r="812" ht="23" customHeight="1">
      <x:c r="A812" s="2" t="str">
        <x:v>Exports</x:v>
      </x:c>
      <x:c r="B812" s="2" t="n">
        <x:v>75</x:v>
      </x:c>
      <x:c r="C812" s="2" t="str">
        <x:v>95. BRUSHES and BROOMS ----     </x:v>
      </x:c>
      <x:c r="D812" s="2" t="str">
        <x:v>"</x:v>
      </x:c>
      <x:c r="E812" s="8" t="n">
        <x:v>2024</x:v>
      </x:c>
      <x:c r="F812" s="8" t="n">
        <x:v>4756</x:v>
      </x:c>
    </x:row>
    <x:row r="813" ht="23" customHeight="1">
      <x:c r="A813" s="2" t="str">
        <x:v>Exports</x:v>
      </x:c>
      <x:c r="B813" s="2" t="n">
        <x:v>76</x:v>
      </x:c>
      <x:c r="C813" s="2" t="str">
        <x:v>     </x:v>
      </x:c>
      <x:c r="D813" s="2"/>
      <x:c r="E813" s="8"/>
      <x:c r="F813" s="8"/>
    </x:row>
    <x:row r="814" ht="23" customHeight="1">
      <x:c r="A814" s="2" t="str">
        <x:v>Exports</x:v>
      </x:c>
      <x:c r="B814" s="2" t="n">
        <x:v>77</x:v>
      </x:c>
      <x:c r="C814" s="2" t="str">
        <x:v>     </x:v>
      </x:c>
      <x:c r="D814" s="2"/>
      <x:c r="E814" s="8"/>
      <x:c r="F814" s="8"/>
    </x:row>
    <x:row r="815" ht="23" customHeight="1">
      <x:c r="A815" s="2" t="str">
        <x:v>Exports</x:v>
      </x:c>
      <x:c r="B815" s="2" t="n">
        <x:v>78</x:v>
      </x:c>
      <x:c r="C815" s="2" t="str">
        <x:v>     </x:v>
      </x:c>
      <x:c r="D815" s="2"/>
      <x:c r="E815" s="8"/>
      <x:c r="F815" s="8"/>
    </x:row>
    <x:row r="816" ht="23" customHeight="1">
      <x:c r="A816" s="2" t="str">
        <x:v>Exports</x:v>
      </x:c>
      <x:c r="B816" s="2" t="n">
        <x:v>79</x:v>
      </x:c>
      <x:c r="C816" s="2" t="str">
        <x:v>96. BUTTER ----     </x:v>
      </x:c>
      <x:c r="D816" s="2" t="str">
        <x:v>"</x:v>
      </x:c>
      <x:c r="E816" s="8" t="n">
        <x:v>687100</x:v>
      </x:c>
      <x:c r="F816" s="8" t="n">
        <x:v>3195015</x:v>
      </x:c>
    </x:row>
    <x:row r="817" ht="23" customHeight="1">
      <x:c r="A817" s="2" t="str">
        <x:v>Exports</x:v>
      </x:c>
      <x:c r="B817" s="2" t="n">
        <x:v>80</x:v>
      </x:c>
      <x:c r="C817" s="2" t="str">
        <x:v>"       , MARGARINE ----     </x:v>
      </x:c>
      <x:c r="D817" s="2" t="str">
        <x:v>"</x:v>
      </x:c>
      <x:c r="E817" s="8" t="n">
        <x:v>26278</x:v>
      </x:c>
      <x:c r="F817" s="8" t="n">
        <x:v>68323</x:v>
      </x:c>
    </x:row>
    <x:row r="818" ht="23" customHeight="1">
      <x:c r="A818" s="2" t="str">
        <x:v>Exports</x:v>
      </x:c>
      <x:c r="B818" s="2" t="n">
        <x:v>81</x:v>
      </x:c>
      <x:c r="C818" s="2" t="str">
        <x:v>     </x:v>
      </x:c>
      <x:c r="D818" s="2"/>
      <x:c r="E818" s="8"/>
      <x:c r="F818" s="8"/>
    </x:row>
    <x:row r="819" ht="23" customHeight="1">
      <x:c r="A819" s="2" t="str">
        <x:v>Exports</x:v>
      </x:c>
      <x:c r="B819" s="2" t="n">
        <x:v>82</x:v>
      </x:c>
      <x:c r="C819" s="2" t="str">
        <x:v>     </x:v>
      </x:c>
      <x:c r="D819" s="2"/>
      <x:c r="E819" s="8"/>
      <x:c r="F819" s="8"/>
    </x:row>
    <x:row r="820" ht="23" customHeight="1">
      <x:c r="A820" s="2" t="str">
        <x:v>Exports</x:v>
      </x:c>
      <x:c r="B820" s="2" t="n">
        <x:v>83</x:v>
      </x:c>
      <x:c r="C820" s="2" t="str">
        <x:v>     </x:v>
      </x:c>
      <x:c r="D820" s="2"/>
      <x:c r="E820" s="8"/>
      <x:c r="F820" s="8"/>
    </x:row>
    <x:row r="821" ht="23" customHeight="1">
      <x:c r="A821" s="2" t="str">
        <x:v>Exports</x:v>
      </x:c>
      <x:c r="B821" s="2" t="n">
        <x:v>84</x:v>
      </x:c>
      <x:c r="C821" s="2" t="str">
        <x:v>97. CANDLES ----     </x:v>
      </x:c>
      <x:c r="D821" s="2" t="str">
        <x:v>"</x:v>
      </x:c>
      <x:c r="E821" s="8" t="n">
        <x:v>5442</x:v>
      </x:c>
      <x:c r="F821" s="8" t="n">
        <x:v>7619</x:v>
      </x:c>
    </x:row>
    <x:row r="822" ht="23" customHeight="1">
      <x:c r="A822" s="2" t="str">
        <x:v>Exports</x:v>
      </x:c>
      <x:c r="B822" s="2" t="n">
        <x:v>85</x:v>
      </x:c>
      <x:c r="C822" s="2" t="str">
        <x:v>     </x:v>
      </x:c>
      <x:c r="D822" s="2"/>
      <x:c r="E822" s="8"/>
      <x:c r="F822" s="8"/>
    </x:row>
    <x:row r="823" ht="23" customHeight="1">
      <x:c r="A823" s="2" t="str">
        <x:v>Exports</x:v>
      </x:c>
      <x:c r="B823" s="2" t="n">
        <x:v>86</x:v>
      </x:c>
      <x:c r="C823" s="2" t="str">
        <x:v>     </x:v>
      </x:c>
      <x:c r="D823" s="2"/>
      <x:c r="E823" s="8"/>
      <x:c r="F823" s="8"/>
    </x:row>
    <x:row r="824" ht="23" customHeight="1">
      <x:c r="A824" s="2" t="str">
        <x:v>Exports</x:v>
      </x:c>
      <x:c r="B824" s="2" t="n">
        <x:v>87</x:v>
      </x:c>
      <x:c r="C824" s="2" t="str">
        <x:v>     </x:v>
      </x:c>
      <x:c r="D824" s="2"/>
      <x:c r="E824" s="8"/>
      <x:c r="F824" s="8"/>
    </x:row>
    <x:row r="825" ht="23" customHeight="1">
      <x:c r="A825" s="2" t="str">
        <x:v>Exports</x:v>
      </x:c>
      <x:c r="B825" s="2" t="n">
        <x:v>88</x:v>
      </x:c>
      <x:c r="C825" s="2" t="str">
        <x:v>98. CARRIAGES,CARS,CYCLES,&amp;C. -     </x:v>
      </x:c>
      <x:c r="D825" s="2"/>
      <x:c r="E825" s="8"/>
      <x:c r="F825" s="8"/>
    </x:row>
    <x:row r="826" ht="23" customHeight="1">
      <x:c r="A826" s="2" t="str">
        <x:v>Exports</x:v>
      </x:c>
      <x:c r="B826" s="2" t="n">
        <x:v>89</x:v>
      </x:c>
      <x:c r="C826" s="2" t="str">
        <x:v>Carriages, Cars, &amp;c. ----     </x:v>
      </x:c>
      <x:c r="D826" s="2" t="str">
        <x:v>No.</x:v>
      </x:c>
      <x:c r="E826" s="8" t="n">
        <x:v>730</x:v>
      </x:c>
      <x:c r="F826" s="8" t="n">
        <x:v>36300</x:v>
      </x:c>
    </x:row>
    <x:row r="827" ht="23" customHeight="1">
      <x:c r="A827" s="2" t="str">
        <x:v>Exports</x:v>
      </x:c>
      <x:c r="B827" s="2" t="n">
        <x:v>90</x:v>
      </x:c>
      <x:c r="C827" s="2" t="str">
        <x:v>Carts,Vans,&amp;c. ----     </x:v>
      </x:c>
      <x:c r="D827" s="2" t="str">
        <x:v>"</x:v>
      </x:c>
      <x:c r="E827" s="8" t="n">
        <x:v>152</x:v>
      </x:c>
      <x:c r="F827" s="8" t="n">
        <x:v>2732</x:v>
      </x:c>
    </x:row>
    <x:row r="828" ht="23" customHeight="1">
      <x:c r="A828" s="2" t="str">
        <x:v>Exports</x:v>
      </x:c>
      <x:c r="B828" s="2" t="n">
        <x:v>91</x:v>
      </x:c>
      <x:c r="C828" s="2" t="str">
        <x:v>Mailcarts and Perambulators ----     </x:v>
      </x:c>
      <x:c r="D828" s="2" t="str">
        <x:v>cwts.</x:v>
      </x:c>
      <x:c r="E828" s="8" t="n">
        <x:v>159</x:v>
      </x:c>
      <x:c r="F828" s="8" t="n">
        <x:v>398</x:v>
      </x:c>
    </x:row>
    <x:row r="829" ht="23" customHeight="1">
      <x:c r="A829" s="2" t="str">
        <x:v>Exports</x:v>
      </x:c>
      <x:c r="B829" s="2" t="n">
        <x:v>92</x:v>
      </x:c>
      <x:c r="C829" s="2" t="str">
        <x:v>Axles ----     </x:v>
      </x:c>
      <x:c r="D829" s="2" t="str">
        <x:v>tons.</x:v>
      </x:c>
      <x:c r="E829" s="8" t="n">
        <x:v>4</x:v>
      </x:c>
      <x:c r="F829" s="8" t="n">
        <x:v>34</x:v>
      </x:c>
    </x:row>
    <x:row r="830" ht="23" customHeight="1">
      <x:c r="A830" s="2" t="str">
        <x:v>Exports</x:v>
      </x:c>
      <x:c r="B830" s="2" t="n">
        <x:v>93</x:v>
      </x:c>
      <x:c r="C830" s="2" t="str">
        <x:v>Shafts ----     </x:v>
      </x:c>
      <x:c r="D830" s="2" t="str">
        <x:v>No.</x:v>
      </x:c>
      <x:c r="E830" s="8" t="n">
        <x:v>2220</x:v>
      </x:c>
      <x:c r="F830" s="8" t="n">
        <x:v>80</x:v>
      </x:c>
    </x:row>
    <x:row r="831" ht="23" customHeight="1">
      <x:c r="A831" s="2" t="str">
        <x:v>Exports</x:v>
      </x:c>
      <x:c r="B831" s="2" t="n">
        <x:v>94</x:v>
      </x:c>
      <x:c r="C831" s="2" t="str">
        <x:v>Spokes and Felloes ----     </x:v>
      </x:c>
      <x:c r="D831" s="2" t="str">
        <x:v>"</x:v>
      </x:c>
      <x:c r="E831" s="8" t="n">
        <x:v>17861</x:v>
      </x:c>
      <x:c r="F831" s="8" t="n">
        <x:v>447</x:v>
      </x:c>
    </x:row>
    <x:row r="832" ht="23" customHeight="1">
      <x:c r="A832" s="2" t="str">
        <x:v>Exports</x:v>
      </x:c>
      <x:c r="B832" s="2" t="n">
        <x:v>95</x:v>
      </x:c>
      <x:c r="C832" s="2" t="str">
        <x:v>Wheels ----     </x:v>
      </x:c>
      <x:c r="D832" s="2" t="str">
        <x:v>cwts.</x:v>
      </x:c>
      <x:c r="E832" s="8" t="n">
        <x:v>10060</x:v>
      </x:c>
      <x:c r="F832" s="8" t="n">
        <x:v>15090</x:v>
      </x:c>
    </x:row>
    <x:row r="833" ht="23" customHeight="1">
      <x:c r="A833" s="2" t="str">
        <x:v>Exports</x:v>
      </x:c>
      <x:c r="B833" s="2" t="n">
        <x:v>96</x:v>
      </x:c>
      <x:c r="C833" s="2" t="str">
        <x:v>     </x:v>
      </x:c>
      <x:c r="D833" s="2"/>
      <x:c r="E833" s="8"/>
      <x:c r="F833" s="8"/>
    </x:row>
    <x:row r="834" ht="23" customHeight="1">
      <x:c r="A834" s="2" t="str">
        <x:v>Exports</x:v>
      </x:c>
      <x:c r="B834" s="2" t="n">
        <x:v>97</x:v>
      </x:c>
      <x:c r="C834" s="2" t="str">
        <x:v>     </x:v>
      </x:c>
      <x:c r="D834" s="2"/>
      <x:c r="E834" s="8"/>
      <x:c r="F834" s="8"/>
    </x:row>
    <x:row r="835" ht="23" customHeight="1">
      <x:c r="A835" s="2" t="str">
        <x:v>Exports</x:v>
      </x:c>
      <x:c r="B835" s="2" t="n">
        <x:v>98</x:v>
      </x:c>
      <x:c r="C835" s="2" t="str">
        <x:v>     </x:v>
      </x:c>
      <x:c r="D835" s="2"/>
      <x:c r="E835" s="8"/>
      <x:c r="F835" s="8"/>
    </x:row>
    <x:row r="836" ht="23" customHeight="1">
      <x:c r="A836" s="2" t="str">
        <x:v>Exports</x:v>
      </x:c>
      <x:c r="B836" s="2" t="n">
        <x:v>99</x:v>
      </x:c>
      <x:c r="C836" s="2" t="str">
        <x:v>99. CEMENT ----     </x:v>
      </x:c>
      <x:c r="D836" s="2" t="str">
        <x:v>tons.</x:v>
      </x:c>
      <x:c r="E836" s="8" t="n">
        <x:v>282</x:v>
      </x:c>
      <x:c r="F836" s="8" t="n">
        <x:v>370</x:v>
      </x:c>
    </x:row>
    <x:row r="837" ht="23" customHeight="1">
      <x:c r="A837" s="2" t="str">
        <x:v>Exports</x:v>
      </x:c>
      <x:c r="B837" s="2" t="n">
        <x:v>100</x:v>
      </x:c>
      <x:c r="C837" s="2" t="str">
        <x:v>     </x:v>
      </x:c>
      <x:c r="D837" s="2"/>
      <x:c r="E837" s="8"/>
      <x:c r="F837" s="8"/>
    </x:row>
    <x:row r="838" ht="23" customHeight="1">
      <x:c r="A838" s="2" t="str">
        <x:v>Exports</x:v>
      </x:c>
      <x:c r="B838" s="2" t="n">
        <x:v>101</x:v>
      </x:c>
      <x:c r="C838" s="2" t="str">
        <x:v>     </x:v>
      </x:c>
      <x:c r="D838" s="2"/>
      <x:c r="E838" s="8"/>
      <x:c r="F838" s="8"/>
    </x:row>
    <x:row r="839" ht="23" customHeight="1">
      <x:c r="A839" s="2" t="str">
        <x:v>Exports</x:v>
      </x:c>
      <x:c r="B839" s="2" t="n">
        <x:v>102</x:v>
      </x:c>
      <x:c r="C839" s="2" t="str">
        <x:v>     </x:v>
      </x:c>
      <x:c r="D839" s="2"/>
      <x:c r="E839" s="8"/>
      <x:c r="F839" s="8"/>
    </x:row>
    <x:row r="840" ht="23" customHeight="1">
      <x:c r="A840" s="2" t="str">
        <x:v>Exports</x:v>
      </x:c>
      <x:c r="B840" s="2" t="n">
        <x:v>103</x:v>
      </x:c>
      <x:c r="C840" s="2" t="str">
        <x:v>100. CHEESE ----     </x:v>
      </x:c>
      <x:c r="D840" s="2" t="str">
        <x:v>cwts.</x:v>
      </x:c>
      <x:c r="E840" s="8" t="n">
        <x:v>1137</x:v>
      </x:c>
      <x:c r="F840" s="8" t="n">
        <x:v>2838</x:v>
      </x:c>
    </x:row>
    <x:row r="841" ht="23" customHeight="1">
      <x:c r="A841" s="2" t="str">
        <x:v>Exports</x:v>
      </x:c>
      <x:c r="B841" s="2" t="n">
        <x:v>104</x:v>
      </x:c>
      <x:c r="C841" s="2" t="str">
        <x:v>     </x:v>
      </x:c>
      <x:c r="D841" s="2"/>
      <x:c r="E841" s="8"/>
      <x:c r="F841" s="8"/>
    </x:row>
    <x:row r="842" ht="23" customHeight="1">
      <x:c r="A842" s="2" t="str">
        <x:v>Exports</x:v>
      </x:c>
      <x:c r="B842" s="2" t="n">
        <x:v>105</x:v>
      </x:c>
      <x:c r="C842" s="2" t="str">
        <x:v>     </x:v>
      </x:c>
      <x:c r="D842" s="2"/>
      <x:c r="E842" s="8"/>
      <x:c r="F842" s="8"/>
    </x:row>
    <x:row r="843" ht="23" customHeight="1">
      <x:c r="A843" s="2" t="str">
        <x:v>Exports</x:v>
      </x:c>
      <x:c r="B843" s="2" t="n">
        <x:v>106</x:v>
      </x:c>
      <x:c r="C843" s="2" t="str">
        <x:v>     </x:v>
      </x:c>
      <x:c r="D843" s="2"/>
      <x:c r="E843" s="8"/>
      <x:c r="F843" s="8"/>
    </x:row>
    <x:row r="844" ht="23" customHeight="1">
      <x:c r="A844" s="2" t="str">
        <x:v>Exports</x:v>
      </x:c>
      <x:c r="B844" s="2" t="n">
        <x:v>107</x:v>
      </x:c>
      <x:c r="C844" s="2" t="str">
        <x:v>101. CHEMICALS, DRUGS, &amp;.C -     </x:v>
      </x:c>
      <x:c r="D844" s="2"/>
      <x:c r="E844" s="8"/>
      <x:c r="F844" s="8"/>
    </x:row>
    <x:row r="845" ht="23" customHeight="1">
      <x:c r="A845" s="2" t="str">
        <x:v>Exports</x:v>
      </x:c>
      <x:c r="B845" s="2" t="n">
        <x:v>108</x:v>
      </x:c>
      <x:c r="C845" s="2" t="str">
        <x:v>Acid, Unclassified ----     </x:v>
      </x:c>
      <x:c r="D845" s="2" t="str">
        <x:v>"</x:v>
      </x:c>
      <x:c r="E845" s="8" t="n">
        <x:v>2914</x:v>
      </x:c>
      <x:c r="F845" s="8" t="n">
        <x:v>3643</x:v>
      </x:c>
    </x:row>
    <x:row r="846" ht="23" customHeight="1">
      <x:c r="A846" s="2" t="str">
        <x:v>Exports</x:v>
      </x:c>
      <x:c r="B846" s="2" t="n">
        <x:v>109</x:v>
      </x:c>
      <x:c r="C846" s="2" t="str">
        <x:v>"    , Nitric ----     </x:v>
      </x:c>
      <x:c r="D846" s="2" t="str">
        <x:v>"</x:v>
      </x:c>
      <x:c r="E846" s="8" t="n">
        <x:v>762</x:v>
      </x:c>
      <x:c r="F846" s="8" t="n">
        <x:v>686</x:v>
      </x:c>
    </x:row>
    <x:row r="847" ht="23" customHeight="1">
      <x:c r="A847" s="2" t="str">
        <x:v>Exports</x:v>
      </x:c>
      <x:c r="B847" s="2" t="n">
        <x:v>110</x:v>
      </x:c>
      <x:c r="C847" s="2" t="str">
        <x:v>"    , Sulphuric ----     </x:v>
      </x:c>
      <x:c r="D847" s="2" t="str">
        <x:v>"</x:v>
      </x:c>
      <x:c r="E847" s="8" t="n">
        <x:v>1799</x:v>
      </x:c>
      <x:c r="F847" s="8" t="n">
        <x:v>405</x:v>
      </x:c>
    </x:row>
    <x:row r="848" ht="23" customHeight="1">
      <x:c r="A848" s="2" t="str">
        <x:v>Exports</x:v>
      </x:c>
      <x:c r="B848" s="2" t="n">
        <x:v>111</x:v>
      </x:c>
      <x:c r="C848" s="2" t="str">
        <x:v>Alum ----     </x:v>
      </x:c>
      <x:c r="D848" s="2" t="str">
        <x:v>"</x:v>
      </x:c>
      <x:c r="E848" s="8" t="n">
        <x:v>1430</x:v>
      </x:c>
      <x:c r="F848" s="8" t="n">
        <x:v>429</x:v>
      </x:c>
    </x:row>
    <x:row r="849" ht="23" customHeight="1">
      <x:c r="A849" s="2" t="str">
        <x:v>Exports</x:v>
      </x:c>
      <x:c r="B849" s="2" t="n">
        <x:v>112</x:v>
      </x:c>
      <x:c r="C849" s="2" t="str">
        <x:v>Carbide of Calcium ----     </x:v>
      </x:c>
      <x:c r="D849" s="2" t="str">
        <x:v>"</x:v>
      </x:c>
      <x:c r="E849" s="8" t="n">
        <x:v>1457</x:v>
      </x:c>
      <x:c r="F849" s="8" t="n">
        <x:v>1038</x:v>
      </x:c>
    </x:row>
    <x:row r="850" ht="23" customHeight="1">
      <x:c r="A850" s="2" t="str">
        <x:v>Exports</x:v>
      </x:c>
      <x:c r="B850" s="2" t="n">
        <x:v>113</x:v>
      </x:c>
      <x:c r="C850" s="2" t="str">
        <x:v>Copper Sulphate ----     </x:v>
      </x:c>
      <x:c r="D850" s="2" t="str">
        <x:v>tons.</x:v>
      </x:c>
      <x:c r="E850" s="8" t="n">
        <x:v>11</x:v>
      </x:c>
      <x:c r="F850" s="8" t="n">
        <x:v>242</x:v>
      </x:c>
    </x:row>
    <x:row r="851" ht="23" customHeight="1">
      <x:c r="A851" s="2" t="str">
        <x:v>Exports</x:v>
      </x:c>
      <x:c r="B851" s="2" t="n">
        <x:v>114</x:v>
      </x:c>
      <x:c r="C851" s="2" t="str">
        <x:v>Glycerine ----     </x:v>
      </x:c>
      <x:c r="D851" s="2" t="str">
        <x:v>cwts.</x:v>
      </x:c>
      <x:c r="E851" s="8" t="n">
        <x:v>4530</x:v>
      </x:c>
      <x:c r="F851" s="8" t="n">
        <x:v>9966</x:v>
      </x:c>
    </x:row>
    <x:row r="852" ht="23" customHeight="1">
      <x:c r="A852" s="2" t="str">
        <x:v>Exports</x:v>
      </x:c>
      <x:c r="B852" s="2" t="n">
        <x:v>115</x:v>
      </x:c>
      <x:c r="C852" s="2" t="str">
        <x:v>Nitrate of Lead ----     </x:v>
      </x:c>
      <x:c r="D852" s="2" t="str">
        <x:v>"</x:v>
      </x:c>
      <x:c r="E852" s="8" t="n">
        <x:v>219</x:v>
      </x:c>
      <x:c r="F852" s="8" t="n">
        <x:v>312</x:v>
      </x:c>
    </x:row>
    <x:row r="853" ht="23" customHeight="1">
      <x:c r="A853" s="2" t="str">
        <x:v>Exports</x:v>
      </x:c>
      <x:c r="B853" s="2" t="n">
        <x:v>116</x:v>
      </x:c>
      <x:c r="C853" s="2" t="str">
        <x:v>Nitre Cake ----     </x:v>
      </x:c>
      <x:c r="D853" s="2" t="str">
        <x:v>"</x:v>
      </x:c>
      <x:c r="E853" s="8" t="n">
        <x:v>38785</x:v>
      </x:c>
      <x:c r="F853" s="8" t="n">
        <x:v>2262</x:v>
      </x:c>
    </x:row>
    <x:row r="854" ht="23" customHeight="1">
      <x:c r="A854" s="2" t="str">
        <x:v>Exports</x:v>
      </x:c>
      <x:c r="B854" s="2" t="n">
        <x:v>117</x:v>
      </x:c>
      <x:c r="C854" s="2" t="str">
        <x:v>Sulphate of Lead ----     </x:v>
      </x:c>
      <x:c r="D854" s="2" t="str">
        <x:v>"</x:v>
      </x:c>
      <x:c r="E854" s="8" t="n">
        <x:v>954</x:v>
      </x:c>
      <x:c r="F854" s="8" t="n">
        <x:v>608</x:v>
      </x:c>
    </x:row>
    <x:row r="855" ht="23" customHeight="1">
      <x:c r="A855" s="2" t="str">
        <x:v>Exports</x:v>
      </x:c>
      <x:c r="B855" s="2" t="n">
        <x:v>118</x:v>
      </x:c>
      <x:c r="C855" s="2" t="str">
        <x:v>Magnesia ----     </x:v>
      </x:c>
      <x:c r="D855" s="2" t="str">
        <x:v>"</x:v>
      </x:c>
      <x:c r="E855" s="8" t="n">
        <x:v>1595</x:v>
      </x:c>
      <x:c r="F855" s="8" t="n">
        <x:v>1994</x:v>
      </x:c>
    </x:row>
    <x:row r="856" ht="23" customHeight="1">
      <x:c r="A856" s="2" t="str">
        <x:v>Exports</x:v>
      </x:c>
      <x:c r="B856" s="2" t="n">
        <x:v>119</x:v>
      </x:c>
      <x:c r="C856" s="2" t="str">
        <x:v>Powder (Washing and Bleaching) ----     </x:v>
      </x:c>
      <x:c r="D856" s="2" t="str">
        <x:v>"</x:v>
      </x:c>
      <x:c r="E856" s="8" t="n">
        <x:v>418</x:v>
      </x:c>
      <x:c r="F856" s="8" t="n">
        <x:v>146</x:v>
      </x:c>
    </x:row>
    <x:row r="857" ht="23" customHeight="1">
      <x:c r="A857" s="2" t="str">
        <x:v>Exports</x:v>
      </x:c>
      <x:c r="B857" s="2" t="n">
        <x:v>120</x:v>
      </x:c>
      <x:c r="C857" s="2" t="str">
        <x:v>Soap Lye ----     </x:v>
      </x:c>
      <x:c r="D857" s="2" t="str">
        <x:v>"</x:v>
      </x:c>
      <x:c r="E857" s="8" t="n">
        <x:v>622</x:v>
      </x:c>
      <x:c r="F857" s="8" t="n">
        <x:v>233</x:v>
      </x:c>
    </x:row>
    <x:row r="858" ht="23" customHeight="1">
      <x:c r="A858" s="2" t="str">
        <x:v>Exports</x:v>
      </x:c>
      <x:c r="B858" s="2" t="n">
        <x:v>121</x:v>
      </x:c>
      <x:c r="C858" s="2" t="str">
        <x:v>Sheep Wash ----     </x:v>
      </x:c>
      <x:c r="D858" s="2" t="str">
        <x:v>"</x:v>
      </x:c>
      <x:c r="E858" s="8" t="n">
        <x:v>2869</x:v>
      </x:c>
      <x:c r="F858" s="8" t="n">
        <x:v>14345</x:v>
      </x:c>
    </x:row>
    <x:row r="859" ht="23" customHeight="1">
      <x:c r="A859" s="2" t="str">
        <x:v>Exports</x:v>
      </x:c>
      <x:c r="B859" s="2" t="n">
        <x:v>122</x:v>
      </x:c>
      <x:c r="C859" s="2" t="str">
        <x:v>Soda ----     </x:v>
      </x:c>
      <x:c r="D859" s="2" t="str">
        <x:v>"</x:v>
      </x:c>
      <x:c r="E859" s="8" t="n">
        <x:v>4719</x:v>
      </x:c>
      <x:c r="F859" s="8" t="n">
        <x:v>766</x:v>
      </x:c>
    </x:row>
    <x:row r="860" ht="23" customHeight="1">
      <x:c r="A860" s="2" t="str">
        <x:v>Exports</x:v>
      </x:c>
      <x:c r="B860" s="2" t="n">
        <x:v>123</x:v>
      </x:c>
      <x:c r="C860" s="2" t="str">
        <x:v>Soda Ash ----     </x:v>
      </x:c>
      <x:c r="D860" s="2" t="str">
        <x:v>"</x:v>
      </x:c>
      <x:c r="E860" s="8" t="n">
        <x:v>855</x:v>
      </x:c>
      <x:c r="F860" s="8" t="n">
        <x:v>214</x:v>
      </x:c>
    </x:row>
    <x:row r="861" ht="23" customHeight="1">
      <x:c r="A861" s="2" t="str">
        <x:v>Exports</x:v>
      </x:c>
      <x:c r="B861" s="2" t="n">
        <x:v>124</x:v>
      </x:c>
      <x:c r="C861" s="2" t="str">
        <x:v>Sulphur ----     </x:v>
      </x:c>
      <x:c r="D861" s="2" t="str">
        <x:v>"</x:v>
      </x:c>
      <x:c r="E861" s="8" t="n">
        <x:v>185</x:v>
      </x:c>
      <x:c r="F861" s="8" t="n">
        <x:v>65</x:v>
      </x:c>
    </x:row>
    <x:row r="862" ht="23" customHeight="1">
      <x:c r="A862" s="2" t="str">
        <x:v>Exports</x:v>
      </x:c>
      <x:c r="B862" s="2" t="n">
        <x:v>125</x:v>
      </x:c>
      <x:c r="C862" s="2" t="str">
        <x:v>Chemicals and Drugs(unclassified) ----     </x:v>
      </x:c>
      <x:c r="D862" s="2" t="str">
        <x:v>"</x:v>
      </x:c>
      <x:c r="E862" s="8" t="n">
        <x:v>4031</x:v>
      </x:c>
      <x:c r="F862" s="8" t="n">
        <x:v>1646</x:v>
      </x:c>
    </x:row>
    <x:row r="863" ht="23" customHeight="1">
      <x:c r="A863" s="2" t="str">
        <x:v>Exports</x:v>
      </x:c>
      <x:c r="B863" s="2" t="n">
        <x:v>126</x:v>
      </x:c>
      <x:c r="C863" s="2" t="str">
        <x:v>Manures, Artificial(unclassified) ----     </x:v>
      </x:c>
      <x:c r="D863" s="2" t="str">
        <x:v>tons.</x:v>
      </x:c>
      <x:c r="E863" s="8" t="n">
        <x:v>22223</x:v>
      </x:c>
      <x:c r="F863" s="8" t="n">
        <x:v>130420</x:v>
      </x:c>
    </x:row>
    <x:row r="864" ht="23" customHeight="1">
      <x:c r="A864" s="2" t="str">
        <x:v>Exports</x:v>
      </x:c>
      <x:c r="B864" s="2" t="n">
        <x:v>127</x:v>
      </x:c>
      <x:c r="C864" s="2" t="str">
        <x:v>     </x:v>
      </x:c>
      <x:c r="D864" s="2"/>
      <x:c r="E864" s="8"/>
      <x:c r="F864" s="8"/>
    </x:row>
    <x:row r="865" ht="23" customHeight="1">
      <x:c r="A865" s="2" t="str">
        <x:v>Exports</x:v>
      </x:c>
      <x:c r="B865" s="2" t="n">
        <x:v>128</x:v>
      </x:c>
      <x:c r="C865" s="2" t="str">
        <x:v>     </x:v>
      </x:c>
      <x:c r="D865" s="2"/>
      <x:c r="E865" s="8"/>
      <x:c r="F865" s="8"/>
    </x:row>
    <x:row r="866" ht="23" customHeight="1">
      <x:c r="A866" s="2" t="str">
        <x:v>Exports</x:v>
      </x:c>
      <x:c r="B866" s="2" t="n">
        <x:v>129</x:v>
      </x:c>
      <x:c r="C866" s="2" t="str">
        <x:v>     </x:v>
      </x:c>
      <x:c r="D866" s="2"/>
      <x:c r="E866" s="8"/>
      <x:c r="F866" s="8"/>
    </x:row>
    <x:row r="867" ht="23" customHeight="1">
      <x:c r="A867" s="2" t="str">
        <x:v>Exports</x:v>
      </x:c>
      <x:c r="B867" s="2" t="n">
        <x:v>130</x:v>
      </x:c>
      <x:c r="C867" s="2" t="str">
        <x:v>102. CHINA,EARTHENWARE, and CLAY GOODS -     </x:v>
      </x:c>
      <x:c r="D867" s="2"/>
      <x:c r="E867" s="8"/>
      <x:c r="F867" s="8"/>
    </x:row>
    <x:row r="868" ht="23" customHeight="1">
      <x:c r="A868" s="2" t="str">
        <x:v>Exports</x:v>
      </x:c>
      <x:c r="B868" s="2" t="n">
        <x:v>131</x:v>
      </x:c>
      <x:c r="C868" s="2" t="str">
        <x:v>Bricks ----     </x:v>
      </x:c>
      <x:c r="D868" s="2" t="str">
        <x:v>cwts.</x:v>
      </x:c>
      <x:c r="E868" s="8" t="n">
        <x:v>2372</x:v>
      </x:c>
      <x:c r="F868" s="8" t="n">
        <x:v>119</x:v>
      </x:c>
    </x:row>
    <x:row r="869" ht="23" customHeight="1">
      <x:c r="A869" s="2" t="str">
        <x:v>Exports</x:v>
      </x:c>
      <x:c r="B869" s="2" t="n">
        <x:v>132</x:v>
      </x:c>
      <x:c r="C869" s="2" t="str">
        <x:v>Bricks, Fireclay ----     </x:v>
      </x:c>
      <x:c r="D869" s="2" t="str">
        <x:v>"</x:v>
      </x:c>
      <x:c r="E869" s="8" t="n">
        <x:v>758</x:v>
      </x:c>
      <x:c r="F869" s="8" t="n">
        <x:v>38</x:v>
      </x:c>
    </x:row>
    <x:row r="870" ht="23" customHeight="1">
      <x:c r="A870" s="2" t="str">
        <x:v>Exports</x:v>
      </x:c>
      <x:c r="B870" s="2" t="n">
        <x:v>133</x:v>
      </x:c>
      <x:c r="C870" s="2" t="str">
        <x:v>Tiles ---     </x:v>
      </x:c>
      <x:c r="D870" s="2" t="str">
        <x:v>"</x:v>
      </x:c>
      <x:c r="E870" s="8" t="n">
        <x:v>430</x:v>
      </x:c>
      <x:c r="F870" s="8" t="n">
        <x:v>59</x:v>
      </x:c>
    </x:row>
    <x:row r="871" ht="23" customHeight="1">
      <x:c r="A871" s="2" t="str">
        <x:v>Exports</x:v>
      </x:c>
      <x:c r="B871" s="2" t="n">
        <x:v>134</x:v>
      </x:c>
      <x:c r="C871" s="2" t="str">
        <x:v>Fireclay Goods ----     </x:v>
      </x:c>
      <x:c r="D871" s="2" t="str">
        <x:v>"</x:v>
      </x:c>
      <x:c r="E871" s="8" t="n">
        <x:v>140</x:v>
      </x:c>
      <x:c r="F871" s="8" t="n">
        <x:v>70</x:v>
      </x:c>
    </x:row>
    <x:row r="872" ht="23" customHeight="1">
      <x:c r="A872" s="2" t="str">
        <x:v>Exports</x:v>
      </x:c>
      <x:c r="B872" s="2" t="n">
        <x:v>135</x:v>
      </x:c>
      <x:c r="C872" s="2" t="str">
        <x:v>Earthenware, unclassified ----     </x:v>
      </x:c>
      <x:c r="D872" s="2" t="str">
        <x:v>"</x:v>
      </x:c>
      <x:c r="E872" s="8" t="n">
        <x:v>3266</x:v>
      </x:c>
      <x:c r="F872" s="8" t="n">
        <x:v>980</x:v>
      </x:c>
    </x:row>
    <x:row r="873" ht="23" customHeight="1">
      <x:c r="A873" s="2" t="str">
        <x:v>Exports</x:v>
      </x:c>
      <x:c r="B873" s="2" t="n">
        <x:v>136</x:v>
      </x:c>
      <x:c r="C873" s="2" t="str">
        <x:v>Chinaware and Porcelain ----     </x:v>
      </x:c>
      <x:c r="D873" s="2" t="str">
        <x:v>"</x:v>
      </x:c>
      <x:c r="E873" s="8" t="n">
        <x:v>342</x:v>
      </x:c>
      <x:c r="F873" s="8" t="n">
        <x:v>2565</x:v>
      </x:c>
    </x:row>
    <x:row r="874" ht="23" customHeight="1">
      <x:c r="A874" s="2" t="str">
        <x:v>Exports</x:v>
      </x:c>
      <x:c r="B874" s="2" t="n">
        <x:v>137</x:v>
      </x:c>
      <x:c r="C874" s="2" t="str">
        <x:v>     </x:v>
      </x:c>
      <x:c r="D874" s="2"/>
      <x:c r="E874" s="8"/>
      <x:c r="F874" s="8"/>
    </x:row>
    <x:row r="875" ht="23" customHeight="1">
      <x:c r="A875" s="2" t="str">
        <x:v>Exports</x:v>
      </x:c>
      <x:c r="B875" s="2" t="n">
        <x:v>138</x:v>
      </x:c>
      <x:c r="C875" s="2" t="str">
        <x:v>     </x:v>
      </x:c>
      <x:c r="D875" s="2"/>
      <x:c r="E875" s="8"/>
      <x:c r="F875" s="8"/>
    </x:row>
    <x:row r="876" ht="23" customHeight="1">
      <x:c r="A876" s="2" t="str">
        <x:v>Exports</x:v>
      </x:c>
      <x:c r="B876" s="2" t="n">
        <x:v>139</x:v>
      </x:c>
      <x:c r="C876" s="2" t="str">
        <x:v>     </x:v>
      </x:c>
      <x:c r="D876" s="2"/>
      <x:c r="E876" s="8"/>
      <x:c r="F876" s="8"/>
    </x:row>
    <x:row r="877" ht="23" customHeight="1">
      <x:c r="A877" s="2" t="str">
        <x:v>Exports</x:v>
      </x:c>
      <x:c r="B877" s="2" t="n">
        <x:v>140</x:v>
      </x:c>
      <x:c r="C877" s="2" t="str">
        <x:v>103. CHOCOLATE ----     </x:v>
      </x:c>
      <x:c r="D877" s="2" t="str">
        <x:v>lbs.</x:v>
      </x:c>
      <x:c r="E877" s="8" t="n">
        <x:v>2240</x:v>
      </x:c>
      <x:c r="F877" s="8" t="n">
        <x:v>225</x:v>
      </x:c>
    </x:row>
    <x:row r="878" ht="23" customHeight="1">
      <x:c r="A878" s="2" t="str">
        <x:v>Exports</x:v>
      </x:c>
      <x:c r="B878" s="2" t="n">
        <x:v>141</x:v>
      </x:c>
      <x:c r="C878" s="2" t="str">
        <x:v>     </x:v>
      </x:c>
      <x:c r="D878" s="2"/>
      <x:c r="E878" s="8"/>
      <x:c r="F878" s="8"/>
    </x:row>
    <x:row r="879" ht="23" customHeight="1">
      <x:c r="A879" s="2" t="str">
        <x:v>Exports</x:v>
      </x:c>
      <x:c r="B879" s="2" t="n">
        <x:v>142</x:v>
      </x:c>
      <x:c r="C879" s="2" t="str">
        <x:v>     </x:v>
      </x:c>
      <x:c r="D879" s="2"/>
      <x:c r="E879" s="8"/>
      <x:c r="F879" s="8"/>
    </x:row>
    <x:row r="880" ht="23" customHeight="1">
      <x:c r="A880" s="2" t="str">
        <x:v>Exports</x:v>
      </x:c>
      <x:c r="B880" s="2" t="n">
        <x:v>143</x:v>
      </x:c>
      <x:c r="C880" s="2" t="str">
        <x:v>     </x:v>
      </x:c>
      <x:c r="D880" s="2"/>
      <x:c r="E880" s="8"/>
      <x:c r="F880" s="8"/>
    </x:row>
    <x:row r="881" ht="23" customHeight="1">
      <x:c r="A881" s="2" t="str">
        <x:v>Exports</x:v>
      </x:c>
      <x:c r="B881" s="2" t="n">
        <x:v>144</x:v>
      </x:c>
      <x:c r="C881" s="2" t="str">
        <x:v>104. CLOCKS ----     </x:v>
      </x:c>
      <x:c r="D881" s="2" t="str">
        <x:v>cwts.</x:v>
      </x:c>
      <x:c r="E881" s="8" t="n">
        <x:v>211</x:v>
      </x:c>
      <x:c r="F881" s="8" t="n">
        <x:v>633</x:v>
      </x:c>
    </x:row>
    <x:row r="882" ht="23" customHeight="1">
      <x:c r="A882" s="2" t="str">
        <x:v>Exports</x:v>
      </x:c>
      <x:c r="B882" s="2" t="n">
        <x:v>145</x:v>
      </x:c>
      <x:c r="C882" s="2" t="str">
        <x:v>     </x:v>
      </x:c>
      <x:c r="D882" s="2"/>
      <x:c r="E882" s="8"/>
      <x:c r="F882" s="8"/>
    </x:row>
    <x:row r="883" ht="23" customHeight="1">
      <x:c r="A883" s="2" t="str">
        <x:v>Exports</x:v>
      </x:c>
      <x:c r="B883" s="2" t="n">
        <x:v>146</x:v>
      </x:c>
      <x:c r="C883" s="2" t="str">
        <x:v>     </x:v>
      </x:c>
      <x:c r="D883" s="2"/>
      <x:c r="E883" s="8"/>
      <x:c r="F883" s="8"/>
    </x:row>
    <x:row r="884" ht="23" customHeight="1">
      <x:c r="A884" s="2" t="str">
        <x:v>Exports</x:v>
      </x:c>
      <x:c r="B884" s="2" t="n">
        <x:v>147</x:v>
      </x:c>
      <x:c r="C884" s="2" t="str">
        <x:v>     </x:v>
      </x:c>
      <x:c r="D884" s="2"/>
      <x:c r="E884" s="8"/>
      <x:c r="F884" s="8"/>
    </x:row>
    <x:row r="885" ht="23" customHeight="1">
      <x:c r="A885" s="2" t="str">
        <x:v>Exports</x:v>
      </x:c>
      <x:c r="B885" s="2" t="n">
        <x:v>148</x:v>
      </x:c>
      <x:c r="C885" s="2" t="str">
        <x:v>105. COCOA ----     </x:v>
      </x:c>
      <x:c r="D885" s="2" t="str">
        <x:v>lbs.</x:v>
      </x:c>
      <x:c r="E885" s="8" t="n">
        <x:v>18704</x:v>
      </x:c>
      <x:c r="F885" s="8" t="n">
        <x:v>1878</x:v>
      </x:c>
    </x:row>
    <x:row r="886" ht="23" customHeight="1">
      <x:c r="A886" s="2" t="str">
        <x:v>Exports</x:v>
      </x:c>
      <x:c r="B886" s="2" t="n">
        <x:v>149</x:v>
      </x:c>
      <x:c r="C886" s="2" t="str">
        <x:v>     </x:v>
      </x:c>
      <x:c r="D886" s="2"/>
      <x:c r="E886" s="8"/>
      <x:c r="F886" s="8"/>
    </x:row>
    <x:row r="887" ht="23" customHeight="1">
      <x:c r="A887" s="2" t="str">
        <x:v>Exports</x:v>
      </x:c>
      <x:c r="B887" s="2" t="n">
        <x:v>150</x:v>
      </x:c>
      <x:c r="C887" s="2" t="str">
        <x:v>     </x:v>
      </x:c>
      <x:c r="D887" s="2"/>
      <x:c r="E887" s="8"/>
      <x:c r="F887" s="8"/>
    </x:row>
    <x:row r="888" ht="23" customHeight="1">
      <x:c r="A888" s="2" t="str">
        <x:v>Exports</x:v>
      </x:c>
      <x:c r="B888" s="2" t="n">
        <x:v>151</x:v>
      </x:c>
      <x:c r="C888" s="2" t="str">
        <x:v>     </x:v>
      </x:c>
      <x:c r="D888" s="2"/>
      <x:c r="E888" s="8"/>
      <x:c r="F888" s="8"/>
    </x:row>
    <x:row r="889" ht="23" customHeight="1">
      <x:c r="A889" s="2" t="str">
        <x:v>Exports</x:v>
      </x:c>
      <x:c r="B889" s="2" t="n">
        <x:v>152</x:v>
      </x:c>
      <x:c r="C889" s="2" t="str">
        <x:v>106. COFFEE ----     </x:v>
      </x:c>
      <x:c r="D889" s="2" t="str">
        <x:v>"</x:v>
      </x:c>
      <x:c r="E889" s="8" t="n">
        <x:v>10528</x:v>
      </x:c>
      <x:c r="F889" s="8" t="n">
        <x:v>294</x:v>
      </x:c>
    </x:row>
    <x:row r="890" ht="23" customHeight="1">
      <x:c r="A890" s="2" t="str">
        <x:v>Exports</x:v>
      </x:c>
      <x:c r="B890" s="2" t="n">
        <x:v>153</x:v>
      </x:c>
      <x:c r="C890" s="2" t="str">
        <x:v>     </x:v>
      </x:c>
      <x:c r="D890" s="2"/>
      <x:c r="E890" s="8"/>
      <x:c r="F890" s="8"/>
    </x:row>
    <x:row r="891" ht="23" customHeight="1">
      <x:c r="A891" s="2" t="str">
        <x:v>Exports</x:v>
      </x:c>
      <x:c r="B891" s="2" t="n">
        <x:v>154</x:v>
      </x:c>
      <x:c r="C891" s="2" t="str">
        <x:v>     </x:v>
      </x:c>
      <x:c r="D891" s="2"/>
      <x:c r="E891" s="8"/>
      <x:c r="F891" s="8"/>
    </x:row>
    <x:row r="892" ht="23" customHeight="1">
      <x:c r="A892" s="2" t="str">
        <x:v>Exports</x:v>
      </x:c>
      <x:c r="B892" s="2" t="n">
        <x:v>155</x:v>
      </x:c>
      <x:c r="C892" s="2" t="str">
        <x:v>     </x:v>
      </x:c>
      <x:c r="D892" s="2"/>
      <x:c r="E892" s="8"/>
      <x:c r="F892" s="8"/>
    </x:row>
    <x:row r="893" ht="23" customHeight="1">
      <x:c r="A893" s="2" t="str">
        <x:v>Exports</x:v>
      </x:c>
      <x:c r="B893" s="2" t="n">
        <x:v>156</x:v>
      </x:c>
      <x:c r="C893" s="2" t="str">
        <x:v>107. DYES and TANNING SUBSTANCES -     </x:v>
      </x:c>
      <x:c r="D893" s="2"/>
      <x:c r="E893" s="8"/>
      <x:c r="F893" s="8"/>
    </x:row>
    <x:row r="894" ht="23" customHeight="1">
      <x:c r="A894" s="2" t="str">
        <x:v>Exports</x:v>
      </x:c>
      <x:c r="B894" s="2" t="n">
        <x:v>157</x:v>
      </x:c>
      <x:c r="C894" s="2" t="str">
        <x:v>Annatto ----     </x:v>
      </x:c>
      <x:c r="D894" s="2" t="str">
        <x:v>cwts.</x:v>
      </x:c>
      <x:c r="E894" s="8" t="n">
        <x:v>1160</x:v>
      </x:c>
      <x:c r="F894" s="8" t="n">
        <x:v>11909</x:v>
      </x:c>
    </x:row>
    <x:row r="895" ht="23" customHeight="1">
      <x:c r="A895" s="2" t="str">
        <x:v>Exports</x:v>
      </x:c>
      <x:c r="B895" s="2" t="n">
        <x:v>158</x:v>
      </x:c>
      <x:c r="C895" s="2" t="str">
        <x:v>Copperas ----     </x:v>
      </x:c>
      <x:c r="D895" s="2" t="str">
        <x:v>"</x:v>
      </x:c>
      <x:c r="E895" s="8" t="n">
        <x:v>83</x:v>
      </x:c>
      <x:c r="F895" s="8" t="n">
        <x:v>33</x:v>
      </x:c>
    </x:row>
    <x:row r="896" ht="23" customHeight="1">
      <x:c r="A896" s="2" t="str">
        <x:v>Exports</x:v>
      </x:c>
      <x:c r="B896" s="2" t="n">
        <x:v>159</x:v>
      </x:c>
      <x:c r="C896" s="2" t="str">
        <x:v>Iron Liquor ----     </x:v>
      </x:c>
      <x:c r="D896" s="2" t="str">
        <x:v>"</x:v>
      </x:c>
      <x:c r="E896" s="8" t="n">
        <x:v>100</x:v>
      </x:c>
      <x:c r="F896" s="8" t="n">
        <x:v>45</x:v>
      </x:c>
    </x:row>
    <x:row r="897" ht="23" customHeight="1">
      <x:c r="A897" s="2" t="str">
        <x:v>Exports</x:v>
      </x:c>
      <x:c r="B897" s="2" t="n">
        <x:v>160</x:v>
      </x:c>
      <x:c r="C897" s="2" t="str">
        <x:v>Logwood ----     </x:v>
      </x:c>
      <x:c r="D897" s="2" t="str">
        <x:v>tons.</x:v>
      </x:c>
      <x:c r="E897" s="8" t="n">
        <x:v>44</x:v>
      </x:c>
      <x:c r="F897" s="8" t="n">
        <x:v>221</x:v>
      </x:c>
    </x:row>
    <x:row r="898" ht="23" customHeight="1">
      <x:c r="A898" s="2" t="str">
        <x:v>Exports</x:v>
      </x:c>
      <x:c r="B898" s="2" t="n">
        <x:v>161</x:v>
      </x:c>
      <x:c r="C898" s="2" t="str">
        <x:v>Gambier ----     </x:v>
      </x:c>
      <x:c r="D898" s="2" t="str">
        <x:v>"</x:v>
      </x:c>
      <x:c r="E898" s="8" t="n">
        <x:v>10</x:v>
      </x:c>
      <x:c r="F898" s="8" t="n">
        <x:v>250</x:v>
      </x:c>
    </x:row>
    <x:row r="899" ht="23" customHeight="1">
      <x:c r="A899" s="2" t="str">
        <x:v>Exports</x:v>
      </x:c>
      <x:c r="B899" s="2" t="n">
        <x:v>162</x:v>
      </x:c>
      <x:c r="C899" s="2" t="str">
        <x:v>Divi-Divi ----     </x:v>
      </x:c>
      <x:c r="D899" s="2" t="str">
        <x:v>cwts.</x:v>
      </x:c>
      <x:c r="E899" s="8" t="n">
        <x:v>240</x:v>
      </x:c>
      <x:c r="F899" s="8" t="n">
        <x:v>120</x:v>
      </x:c>
    </x:row>
    <x:row r="900" ht="23" customHeight="1">
      <x:c r="A900" s="2" t="str">
        <x:v>Exports</x:v>
      </x:c>
      <x:c r="B900" s="2" t="n">
        <x:v>163</x:v>
      </x:c>
      <x:c r="C900" s="2" t="str">
        <x:v>Bark ----     </x:v>
      </x:c>
      <x:c r="D900" s="2" t="str">
        <x:v>"</x:v>
      </x:c>
      <x:c r="E900" s="8" t="n">
        <x:v>1192</x:v>
      </x:c>
      <x:c r="F900" s="8" t="n">
        <x:v>238</x:v>
      </x:c>
    </x:row>
    <x:row r="901" ht="23" customHeight="1">
      <x:c r="A901" s="2" t="str">
        <x:v>Exports</x:v>
      </x:c>
      <x:c r="B901" s="2" t="n">
        <x:v>164</x:v>
      </x:c>
      <x:c r="C901" s="2" t="str">
        <x:v>Dyes and Tanning Substances, unclassified ----     </x:v>
      </x:c>
      <x:c r="D901" s="2" t="str">
        <x:v>"</x:v>
      </x:c>
      <x:c r="E901" s="8" t="n">
        <x:v>991</x:v>
      </x:c>
      <x:c r="F901" s="8" t="n">
        <x:v>3295</x:v>
      </x:c>
    </x:row>
    <x:row r="902" ht="23" customHeight="1">
      <x:c r="A902" s="2" t="str">
        <x:v>Exports</x:v>
      </x:c>
      <x:c r="B902" s="2" t="n">
        <x:v>165</x:v>
      </x:c>
      <x:c r="C902" s="2" t="str">
        <x:v>     </x:v>
      </x:c>
      <x:c r="D902" s="2"/>
      <x:c r="E902" s="8"/>
      <x:c r="F902" s="8"/>
    </x:row>
    <x:row r="903" ht="23" customHeight="1">
      <x:c r="A903" s="2" t="str">
        <x:v>Exports</x:v>
      </x:c>
      <x:c r="B903" s="2" t="n">
        <x:v>166</x:v>
      </x:c>
      <x:c r="C903" s="2" t="str">
        <x:v>     </x:v>
      </x:c>
      <x:c r="D903" s="2"/>
      <x:c r="E903" s="8"/>
      <x:c r="F903" s="8"/>
    </x:row>
    <x:row r="904" ht="23" customHeight="1">
      <x:c r="A904" s="2" t="str">
        <x:v>Exports</x:v>
      </x:c>
      <x:c r="B904" s="2" t="n">
        <x:v>167</x:v>
      </x:c>
      <x:c r="C904" s="2" t="str">
        <x:v>     </x:v>
      </x:c>
      <x:c r="D904" s="2"/>
      <x:c r="E904" s="8"/>
      <x:c r="F904" s="8"/>
    </x:row>
    <x:row r="905" ht="23" customHeight="1">
      <x:c r="A905" s="2" t="str">
        <x:v>Exports</x:v>
      </x:c>
      <x:c r="B905" s="2" t="n">
        <x:v>168</x:v>
      </x:c>
      <x:c r="C905" s="2" t="str">
        <x:v>108. EGGS ----     </x:v>
      </x:c>
      <x:c r="D905" s="2" t="str">
        <x:v>gt. Hdrs.</x:v>
      </x:c>
      <x:c r="E905" s="8" t="n">
        <x:v>5513814</x:v>
      </x:c>
      <x:c r="F905" s="8" t="n">
        <x:v>2205526</x:v>
      </x:c>
    </x:row>
    <x:row r="906" ht="23" customHeight="1">
      <x:c r="A906" s="2" t="str">
        <x:v>Exports</x:v>
      </x:c>
      <x:c r="B906" s="2" t="n">
        <x:v>169</x:v>
      </x:c>
      <x:c r="C906" s="2" t="str">
        <x:v>     </x:v>
      </x:c>
      <x:c r="D906" s="2"/>
      <x:c r="E906" s="8"/>
      <x:c r="F906" s="8"/>
    </x:row>
    <x:row r="907" ht="23" customHeight="1">
      <x:c r="A907" s="2" t="str">
        <x:v>Exports</x:v>
      </x:c>
      <x:c r="B907" s="2" t="n">
        <x:v>170</x:v>
      </x:c>
      <x:c r="C907" s="2" t="str">
        <x:v>     </x:v>
      </x:c>
      <x:c r="D907" s="2"/>
      <x:c r="E907" s="8"/>
      <x:c r="F907" s="8"/>
    </x:row>
    <x:row r="908" ht="23" customHeight="1">
      <x:c r="A908" s="2" t="str">
        <x:v>Exports</x:v>
      </x:c>
      <x:c r="B908" s="2" t="n">
        <x:v>171</x:v>
      </x:c>
      <x:c r="C908" s="2" t="str">
        <x:v>     </x:v>
      </x:c>
      <x:c r="D908" s="2"/>
      <x:c r="E908" s="8"/>
      <x:c r="F908" s="8"/>
    </x:row>
    <x:row r="909" ht="23" customHeight="1">
      <x:c r="A909" s="2" t="str">
        <x:v>Exports</x:v>
      </x:c>
      <x:c r="B909" s="2" t="n">
        <x:v>172</x:v>
      </x:c>
      <x:c r="C909" s="2" t="str">
        <x:v>109. FATS -     </x:v>
      </x:c>
      <x:c r="D909" s="2"/>
      <x:c r="E909" s="8"/>
      <x:c r="F909" s="8"/>
    </x:row>
    <x:row r="910" ht="23" customHeight="1">
      <x:c r="A910" s="2" t="str">
        <x:v>Exports</x:v>
      </x:c>
      <x:c r="B910" s="2" t="n">
        <x:v>173</x:v>
      </x:c>
      <x:c r="C910" s="2" t="str">
        <x:v>Lard ----     </x:v>
      </x:c>
      <x:c r="D910" s="2" t="str">
        <x:v>cwts.</x:v>
      </x:c>
      <x:c r="E910" s="8" t="n">
        <x:v>124780</x:v>
      </x:c>
      <x:c r="F910" s="8" t="n">
        <x:v>302591</x:v>
      </x:c>
    </x:row>
    <x:row r="911" ht="23" customHeight="1">
      <x:c r="A911" s="2" t="str">
        <x:v>Exports</x:v>
      </x:c>
      <x:c r="B911" s="2" t="n">
        <x:v>174</x:v>
      </x:c>
      <x:c r="C911" s="2" t="str">
        <x:v>Tallow ----     </x:v>
      </x:c>
      <x:c r="D911" s="2" t="str">
        <x:v>"</x:v>
      </x:c>
      <x:c r="E911" s="8" t="n">
        <x:v>21397</x:v>
      </x:c>
      <x:c r="F911" s="8" t="n">
        <x:v>29396</x:v>
      </x:c>
    </x:row>
    <x:row r="912" ht="23" customHeight="1">
      <x:c r="A912" s="2" t="str">
        <x:v>Exports</x:v>
      </x:c>
      <x:c r="B912" s="2" t="n">
        <x:v>175</x:v>
      </x:c>
      <x:c r="C912" s="2" t="str">
        <x:v>Grease ----     </x:v>
      </x:c>
      <x:c r="D912" s="2" t="str">
        <x:v>"</x:v>
      </x:c>
      <x:c r="E912" s="8" t="n">
        <x:v>33940</x:v>
      </x:c>
      <x:c r="F912" s="8" t="n">
        <x:v>39031</x:v>
      </x:c>
    </x:row>
    <x:row r="913" ht="23" customHeight="1">
      <x:c r="A913" s="2" t="str">
        <x:v>Exports</x:v>
      </x:c>
      <x:c r="B913" s="2" t="n">
        <x:v>176</x:v>
      </x:c>
      <x:c r="C913" s="2" t="str">
        <x:v>     </x:v>
      </x:c>
      <x:c r="D913" s="2"/>
      <x:c r="E913" s="8"/>
      <x:c r="F913" s="8"/>
    </x:row>
    <x:row r="914" ht="23" customHeight="1">
      <x:c r="A914" s="2" t="str">
        <x:v>Exports</x:v>
      </x:c>
      <x:c r="B914" s="2" t="n">
        <x:v>177</x:v>
      </x:c>
      <x:c r="C914" s="2" t="str">
        <x:v>     </x:v>
      </x:c>
      <x:c r="D914" s="2"/>
      <x:c r="E914" s="8"/>
      <x:c r="F914" s="8"/>
    </x:row>
    <x:row r="915" ht="23" customHeight="1">
      <x:c r="A915" s="2" t="str">
        <x:v>Exports</x:v>
      </x:c>
      <x:c r="B915" s="2" t="n">
        <x:v>178</x:v>
      </x:c>
      <x:c r="C915" s="2" t="str">
        <x:v>     </x:v>
      </x:c>
      <x:c r="D915" s="2"/>
      <x:c r="E915" s="8"/>
      <x:c r="F915" s="8"/>
    </x:row>
    <x:row r="916" ht="23" customHeight="1">
      <x:c r="A916" s="2" t="str">
        <x:v>Exports</x:v>
      </x:c>
      <x:c r="B916" s="2" t="n">
        <x:v>179</x:v>
      </x:c>
      <x:c r="C916" s="2" t="str">
        <x:v>110. FEATHERS ----     </x:v>
      </x:c>
      <x:c r="D916" s="2" t="str">
        <x:v>"</x:v>
      </x:c>
      <x:c r="E916" s="8" t="n">
        <x:v>12296</x:v>
      </x:c>
      <x:c r="F916" s="8" t="n">
        <x:v>36888</x:v>
      </x:c>
    </x:row>
    <x:row r="917" ht="23" customHeight="1">
      <x:c r="A917" s="2" t="str">
        <x:v>Exports</x:v>
      </x:c>
      <x:c r="B917" s="2" t="n">
        <x:v>180</x:v>
      </x:c>
      <x:c r="C917" s="2" t="str">
        <x:v>     </x:v>
      </x:c>
      <x:c r="D917" s="2"/>
      <x:c r="E917" s="8"/>
      <x:c r="F917" s="8"/>
    </x:row>
    <x:row r="918" ht="23" customHeight="1">
      <x:c r="A918" s="2" t="str">
        <x:v>Exports</x:v>
      </x:c>
      <x:c r="B918" s="2" t="n">
        <x:v>181</x:v>
      </x:c>
      <x:c r="C918" s="2" t="str">
        <x:v>     </x:v>
      </x:c>
      <x:c r="D918" s="2"/>
      <x:c r="E918" s="8"/>
      <x:c r="F918" s="8"/>
    </x:row>
    <x:row r="919" ht="23" customHeight="1">
      <x:c r="A919" s="2" t="str">
        <x:v>Exports</x:v>
      </x:c>
      <x:c r="B919" s="2" t="n">
        <x:v>182</x:v>
      </x:c>
      <x:c r="C919" s="2" t="str">
        <x:v>     </x:v>
      </x:c>
      <x:c r="D919" s="2"/>
      <x:c r="E919" s="8"/>
      <x:c r="F919" s="8"/>
    </x:row>
    <x:row r="920" ht="23" customHeight="1">
      <x:c r="A920" s="2" t="str">
        <x:v>Exports</x:v>
      </x:c>
      <x:c r="B920" s="2" t="n">
        <x:v>183</x:v>
      </x:c>
      <x:c r="C920" s="2" t="str">
        <x:v>111. FISH -     </x:v>
      </x:c>
      <x:c r="D920" s="2"/>
      <x:c r="E920" s="8"/>
      <x:c r="F920" s="8"/>
    </x:row>
    <x:row r="921" ht="23" customHeight="1">
      <x:c r="A921" s="2" t="str">
        <x:v>Exports</x:v>
      </x:c>
      <x:c r="B921" s="2" t="n">
        <x:v>184</x:v>
      </x:c>
      <x:c r="C921" s="2" t="str">
        <x:v>Herrings, Fresh ----     </x:v>
      </x:c>
      <x:c r="D921" s="2" t="str">
        <x:v>"</x:v>
      </x:c>
      <x:c r="E921" s="8" t="n">
        <x:v>48516</x:v>
      </x:c>
      <x:c r="F921" s="8" t="n">
        <x:v>20215</x:v>
      </x:c>
    </x:row>
    <x:row r="922" ht="23" customHeight="1">
      <x:c r="A922" s="2" t="str">
        <x:v>Exports</x:v>
      </x:c>
      <x:c r="B922" s="2" t="n">
        <x:v>185</x:v>
      </x:c>
      <x:c r="C922" s="2" t="str">
        <x:v>"      , Cured ----     </x:v>
      </x:c>
      <x:c r="D922" s="2" t="str">
        <x:v>"</x:v>
      </x:c>
      <x:c r="E922" s="8" t="n">
        <x:v>36277</x:v>
      </x:c>
      <x:c r="F922" s="8" t="n">
        <x:v>27208</x:v>
      </x:c>
    </x:row>
    <x:row r="923" ht="23" customHeight="1">
      <x:c r="A923" s="2" t="str">
        <x:v>Exports</x:v>
      </x:c>
      <x:c r="B923" s="2" t="n">
        <x:v>186</x:v>
      </x:c>
      <x:c r="C923" s="2" t="str">
        <x:v>Mackerel,Fresh ----     </x:v>
      </x:c>
      <x:c r="D923" s="2" t="str">
        <x:v>"</x:v>
      </x:c>
      <x:c r="E923" s="8" t="n">
        <x:v>42791</x:v>
      </x:c>
      <x:c r="F923" s="8" t="n">
        <x:v>10698</x:v>
      </x:c>
    </x:row>
    <x:row r="924" ht="23" customHeight="1">
      <x:c r="A924" s="2" t="str">
        <x:v>Exports</x:v>
      </x:c>
      <x:c r="B924" s="2" t="n">
        <x:v>187</x:v>
      </x:c>
      <x:c r="C924" s="2" t="str">
        <x:v>Mackerel, Cured ----     </x:v>
      </x:c>
      <x:c r="D924" s="2" t="str">
        <x:v>"</x:v>
      </x:c>
      <x:c r="E924" s="8" t="n">
        <x:v>66157</x:v>
      </x:c>
      <x:c r="F924" s="8" t="n">
        <x:v>57887</x:v>
      </x:c>
    </x:row>
    <x:row r="925" ht="23" customHeight="1">
      <x:c r="A925" s="2" t="str">
        <x:v>Exports</x:v>
      </x:c>
      <x:c r="B925" s="2" t="n">
        <x:v>188</x:v>
      </x:c>
      <x:c r="C925" s="2" t="str">
        <x:v>Mackerel, unclassified ----     </x:v>
      </x:c>
      <x:c r="D925" s="2" t="str">
        <x:v>"</x:v>
      </x:c>
      <x:c r="E925" s="8" t="n">
        <x:v>150311</x:v>
      </x:c>
      <x:c r="F925" s="8" t="n">
        <x:v>82671</x:v>
      </x:c>
    </x:row>
    <x:row r="926" ht="23" customHeight="1">
      <x:c r="A926" s="2" t="str">
        <x:v>Exports</x:v>
      </x:c>
      <x:c r="B926" s="2" t="n">
        <x:v>189</x:v>
      </x:c>
      <x:c r="C926" s="2" t="str">
        <x:v>Salmon and Trout ----     </x:v>
      </x:c>
      <x:c r="D926" s="2" t="str">
        <x:v>"</x:v>
      </x:c>
      <x:c r="E926" s="8" t="n">
        <x:v>16593</x:v>
      </x:c>
      <x:c r="F926" s="8" t="n">
        <x:v>69691</x:v>
      </x:c>
    </x:row>
    <x:row r="927" ht="23" customHeight="1">
      <x:c r="A927" s="2" t="str">
        <x:v>Exports</x:v>
      </x:c>
      <x:c r="B927" s="2" t="n">
        <x:v>190</x:v>
      </x:c>
      <x:c r="C927" s="2" t="str">
        <x:v>Eels, freshwater ----     </x:v>
      </x:c>
      <x:c r="D927" s="2" t="str">
        <x:v>"</x:v>
      </x:c>
      <x:c r="E927" s="8" t="n">
        <x:v>2431</x:v>
      </x:c>
      <x:c r="F927" s="8" t="n">
        <x:v>4862</x:v>
      </x:c>
    </x:row>
    <x:row r="928" ht="23" customHeight="1">
      <x:c r="A928" s="2" t="str">
        <x:v>Exports</x:v>
      </x:c>
      <x:c r="B928" s="2" t="n">
        <x:v>191</x:v>
      </x:c>
      <x:c r="C928" s="2" t="str">
        <x:v>Fresh Fish, unclassified ----     </x:v>
      </x:c>
      <x:c r="D928" s="2" t="str">
        <x:v>"</x:v>
      </x:c>
      <x:c r="E928" s="8"/>
      <x:c r="F928" s="8"/>
    </x:row>
    <x:row r="929" ht="23" customHeight="1">
      <x:c r="A929" s="2" t="str">
        <x:v>Exports</x:v>
      </x:c>
      <x:c r="B929" s="2" t="n">
        <x:v>192</x:v>
      </x:c>
      <x:c r="C929" s="2" t="str">
        <x:v>Fish, Dried or Preserved ----     </x:v>
      </x:c>
      <x:c r="D929" s="2" t="str">
        <x:v>"</x:v>
      </x:c>
      <x:c r="E929" s="8" t="n">
        <x:v>71392</x:v>
      </x:c>
      <x:c r="F929" s="8" t="n">
        <x:v>68114</x:v>
      </x:c>
    </x:row>
    <x:row r="930" ht="23" customHeight="1">
      <x:c r="A930" s="2" t="str">
        <x:v>Exports</x:v>
      </x:c>
      <x:c r="B930" s="2" t="n">
        <x:v>193</x:v>
      </x:c>
      <x:c r="C930" s="2" t="str">
        <x:v>Shell Fish - Mussels ----     </x:v>
      </x:c>
      <x:c r="D930" s="2" t="str">
        <x:v>"</x:v>
      </x:c>
      <x:c r="E930" s="8" t="n">
        <x:v>27112</x:v>
      </x:c>
      <x:c r="F930" s="8" t="n">
        <x:v>2626</x:v>
      </x:c>
    </x:row>
    <x:row r="931" ht="23" customHeight="1">
      <x:c r="A931" s="2" t="str">
        <x:v>Exports</x:v>
      </x:c>
      <x:c r="B931" s="2" t="n">
        <x:v>194</x:v>
      </x:c>
      <x:c r="C931" s="2" t="str">
        <x:v>"      "     - Oysters ----     </x:v>
      </x:c>
      <x:c r="D931" s="2" t="str">
        <x:v>"</x:v>
      </x:c>
      <x:c r="E931" s="8" t="n">
        <x:v>3242</x:v>
      </x:c>
      <x:c r="F931" s="8" t="n">
        <x:v>4863</x:v>
      </x:c>
    </x:row>
    <x:row r="932" ht="23" customHeight="1">
      <x:c r="A932" s="2" t="str">
        <x:v>Exports</x:v>
      </x:c>
      <x:c r="B932" s="2" t="n">
        <x:v>195</x:v>
      </x:c>
      <x:c r="C932" s="2" t="str">
        <x:v>"      "     - Lobsters ----     </x:v>
      </x:c>
      <x:c r="D932" s="2" t="str">
        <x:v>"</x:v>
      </x:c>
      <x:c r="E932" s="8" t="n">
        <x:v>1949</x:v>
      </x:c>
      <x:c r="F932" s="8" t="n">
        <x:v>7796</x:v>
      </x:c>
    </x:row>
    <x:row r="933" ht="23" customHeight="1">
      <x:c r="A933" s="2" t="str">
        <x:v>Exports</x:v>
      </x:c>
      <x:c r="B933" s="2" t="n">
        <x:v>196</x:v>
      </x:c>
      <x:c r="C933" s="2" t="str">
        <x:v>"      "     - Winkles ----     </x:v>
      </x:c>
      <x:c r="D933" s="2" t="str">
        <x:v>"</x:v>
      </x:c>
      <x:c r="E933" s="8" t="n">
        <x:v>6658</x:v>
      </x:c>
      <x:c r="F933" s="8" t="n">
        <x:v>1355</x:v>
      </x:c>
    </x:row>
    <x:row r="934" ht="23" customHeight="1">
      <x:c r="A934" s="2" t="str">
        <x:v>Exports</x:v>
      </x:c>
      <x:c r="B934" s="2" t="n">
        <x:v>197</x:v>
      </x:c>
      <x:c r="C934" s="2" t="str">
        <x:v>"     "      - Unclassified ----     </x:v>
      </x:c>
      <x:c r="D934" s="2" t="str">
        <x:v>"</x:v>
      </x:c>
      <x:c r="E934" s="8" t="n">
        <x:v>41853</x:v>
      </x:c>
      <x:c r="F934" s="8" t="n">
        <x:v>7368</x:v>
      </x:c>
    </x:row>
    <x:row r="935" ht="23" customHeight="1">
      <x:c r="A935" s="2" t="str">
        <x:v>Exports</x:v>
      </x:c>
      <x:c r="B935" s="2" t="n">
        <x:v>198</x:v>
      </x:c>
      <x:c r="C935" s="2" t="str">
        <x:v>     </x:v>
      </x:c>
      <x:c r="D935" s="2"/>
      <x:c r="E935" s="8"/>
      <x:c r="F935" s="8"/>
    </x:row>
    <x:row r="936" ht="23" customHeight="1">
      <x:c r="A936" s="2" t="str">
        <x:v>Exports</x:v>
      </x:c>
      <x:c r="B936" s="2" t="n">
        <x:v>199</x:v>
      </x:c>
      <x:c r="C936" s="2" t="str">
        <x:v>     </x:v>
      </x:c>
      <x:c r="D936" s="2"/>
      <x:c r="E936" s="8"/>
      <x:c r="F936" s="8"/>
    </x:row>
    <x:row r="937" ht="23" customHeight="1">
      <x:c r="A937" s="2" t="str">
        <x:v>Exports</x:v>
      </x:c>
      <x:c r="B937" s="2" t="n">
        <x:v>200</x:v>
      </x:c>
      <x:c r="C937" s="2" t="str">
        <x:v>     </x:v>
      </x:c>
      <x:c r="D937" s="2"/>
      <x:c r="E937" s="8"/>
      <x:c r="F937" s="8"/>
    </x:row>
    <x:row r="938" ht="23" customHeight="1">
      <x:c r="A938" s="2" t="str">
        <x:v>Exports</x:v>
      </x:c>
      <x:c r="B938" s="2" t="n">
        <x:v>201</x:v>
      </x:c>
      <x:c r="C938" s="2" t="str">
        <x:v>112. FISHING NETS ----     </x:v>
      </x:c>
      <x:c r="D938" s="2" t="str">
        <x:v>"</x:v>
      </x:c>
      <x:c r="E938" s="8" t="n">
        <x:v>1183</x:v>
      </x:c>
      <x:c r="F938" s="8" t="n">
        <x:v>4732</x:v>
      </x:c>
    </x:row>
    <x:row r="939" ht="23" customHeight="1">
      <x:c r="A939" s="2" t="str">
        <x:v>Exports</x:v>
      </x:c>
      <x:c r="B939" s="2" t="n">
        <x:v>202</x:v>
      </x:c>
      <x:c r="C939" s="2" t="str">
        <x:v>     </x:v>
      </x:c>
      <x:c r="D939" s="2"/>
      <x:c r="E939" s="8"/>
      <x:c r="F939" s="8"/>
    </x:row>
    <x:row r="940" ht="23" customHeight="1">
      <x:c r="A940" s="2" t="str">
        <x:v>Exports</x:v>
      </x:c>
      <x:c r="B940" s="2" t="n">
        <x:v>203</x:v>
      </x:c>
      <x:c r="C940" s="2" t="str">
        <x:v>     </x:v>
      </x:c>
      <x:c r="D940" s="2"/>
      <x:c r="E940" s="8"/>
      <x:c r="F940" s="8"/>
    </x:row>
    <x:row r="941" ht="23" customHeight="1">
      <x:c r="A941" s="2" t="str">
        <x:v>Exports</x:v>
      </x:c>
      <x:c r="B941" s="2" t="n">
        <x:v>204</x:v>
      </x:c>
      <x:c r="C941" s="2" t="str">
        <x:v>     </x:v>
      </x:c>
      <x:c r="D941" s="2"/>
      <x:c r="E941" s="8"/>
      <x:c r="F941" s="8"/>
    </x:row>
    <x:row r="942" ht="23" customHeight="1">
      <x:c r="A942" s="2" t="str">
        <x:v>Exports</x:v>
      </x:c>
      <x:c r="B942" s="2" t="n">
        <x:v>205</x:v>
      </x:c>
      <x:c r="C942" s="2" t="str">
        <x:v>113. FRUITS and VEGETABLES ----     </x:v>
      </x:c>
      <x:c r="D942" s="2"/>
      <x:c r="E942" s="8"/>
      <x:c r="F942" s="8"/>
    </x:row>
    <x:row r="943" ht="23" customHeight="1">
      <x:c r="A943" s="2" t="str">
        <x:v>Exports</x:v>
      </x:c>
      <x:c r="B943" s="2" t="n">
        <x:v>206</x:v>
      </x:c>
      <x:c r="C943" s="2" t="str">
        <x:v>Apples and Pears ----     </x:v>
      </x:c>
      <x:c r="D943" s="2" t="str">
        <x:v>"</x:v>
      </x:c>
      <x:c r="E943" s="8" t="n">
        <x:v>30278</x:v>
      </x:c>
      <x:c r="F943" s="8" t="n">
        <x:v>10597</x:v>
      </x:c>
    </x:row>
    <x:row r="944" ht="23" customHeight="1">
      <x:c r="A944" s="2" t="str">
        <x:v>Exports</x:v>
      </x:c>
      <x:c r="B944" s="2" t="n">
        <x:v>207</x:v>
      </x:c>
      <x:c r="C944" s="2" t="str">
        <x:v>Blackberries ----     </x:v>
      </x:c>
      <x:c r="D944" s="2" t="str">
        <x:v>"</x:v>
      </x:c>
      <x:c r="E944" s="8" t="n">
        <x:v>4627</x:v>
      </x:c>
      <x:c r="F944" s="8" t="n">
        <x:v>2545</x:v>
      </x:c>
    </x:row>
    <x:row r="945" ht="23" customHeight="1">
      <x:c r="A945" s="2" t="str">
        <x:v>Exports</x:v>
      </x:c>
      <x:c r="B945" s="2" t="n">
        <x:v>208</x:v>
      </x:c>
      <x:c r="C945" s="2" t="str">
        <x:v>Damsons ----     </x:v>
      </x:c>
      <x:c r="D945" s="2" t="str">
        <x:v>"</x:v>
      </x:c>
      <x:c r="E945" s="8" t="n">
        <x:v>1880</x:v>
      </x:c>
      <x:c r="F945" s="8" t="n">
        <x:v>1128</x:v>
      </x:c>
    </x:row>
    <x:row r="946" ht="23" customHeight="1">
      <x:c r="A946" s="2" t="str">
        <x:v>Exports</x:v>
      </x:c>
      <x:c r="B946" s="2" t="n">
        <x:v>209</x:v>
      </x:c>
      <x:c r="C946" s="2" t="str">
        <x:v>Gooseberries ----     </x:v>
      </x:c>
      <x:c r="D946" s="2" t="str">
        <x:v>"</x:v>
      </x:c>
      <x:c r="E946" s="8" t="n">
        <x:v>3309</x:v>
      </x:c>
      <x:c r="F946" s="8" t="n">
        <x:v>1324</x:v>
      </x:c>
    </x:row>
    <x:row r="947" ht="23" customHeight="1">
      <x:c r="A947" s="2" t="str">
        <x:v>Exports</x:v>
      </x:c>
      <x:c r="B947" s="2" t="n">
        <x:v>210</x:v>
      </x:c>
      <x:c r="C947" s="2" t="str">
        <x:v>Lemons ----     </x:v>
      </x:c>
      <x:c r="D947" s="2" t="str">
        <x:v>"</x:v>
      </x:c>
      <x:c r="E947" s="8" t="n">
        <x:v>87</x:v>
      </x:c>
      <x:c r="F947" s="8" t="n">
        <x:v>39</x:v>
      </x:c>
    </x:row>
    <x:row r="948" ht="23" customHeight="1">
      <x:c r="A948" s="2" t="str">
        <x:v>Exports</x:v>
      </x:c>
      <x:c r="B948" s="2" t="n">
        <x:v>211</x:v>
      </x:c>
      <x:c r="C948" s="2" t="str">
        <x:v>Oranges ----     </x:v>
      </x:c>
      <x:c r="D948" s="2" t="str">
        <x:v>"</x:v>
      </x:c>
      <x:c r="E948" s="8" t="n">
        <x:v>262</x:v>
      </x:c>
      <x:c r="F948" s="8" t="n">
        <x:v>105</x:v>
      </x:c>
    </x:row>
    <x:row r="949" ht="23" customHeight="1">
      <x:c r="A949" s="2" t="str">
        <x:v>Exports</x:v>
      </x:c>
      <x:c r="B949" s="2" t="n">
        <x:v>212</x:v>
      </x:c>
      <x:c r="C949" s="2" t="str">
        <x:v>Currants, Dried ----     </x:v>
      </x:c>
      <x:c r="D949" s="2" t="str">
        <x:v>"</x:v>
      </x:c>
      <x:c r="E949" s="8" t="n">
        <x:v>268</x:v>
      </x:c>
      <x:c r="F949" s="8" t="n">
        <x:v>228</x:v>
      </x:c>
    </x:row>
    <x:row r="950" ht="23" customHeight="1">
      <x:c r="A950" s="2" t="str">
        <x:v>Exports</x:v>
      </x:c>
      <x:c r="B950" s="2" t="n">
        <x:v>213</x:v>
      </x:c>
      <x:c r="C950" s="2" t="str">
        <x:v>Raisins ----     </x:v>
      </x:c>
      <x:c r="D950" s="2" t="str">
        <x:v>"</x:v>
      </x:c>
      <x:c r="E950" s="8" t="n">
        <x:v>266</x:v>
      </x:c>
      <x:c r="F950" s="8" t="n">
        <x:v>399</x:v>
      </x:c>
    </x:row>
    <x:row r="951" ht="23" customHeight="1">
      <x:c r="A951" s="2" t="str">
        <x:v>Exports</x:v>
      </x:c>
      <x:c r="B951" s="2" t="n">
        <x:v>214</x:v>
      </x:c>
      <x:c r="C951" s="2" t="str">
        <x:v>Fruit, Pulped ----     </x:v>
      </x:c>
      <x:c r="D951" s="2" t="str">
        <x:v>"</x:v>
      </x:c>
      <x:c r="E951" s="8" t="n">
        <x:v>2644</x:v>
      </x:c>
      <x:c r="F951" s="8" t="n">
        <x:v>1454</x:v>
      </x:c>
    </x:row>
    <x:row r="952" ht="23" customHeight="1">
      <x:c r="A952" s="2" t="str">
        <x:v>Exports</x:v>
      </x:c>
      <x:c r="B952" s="2" t="n">
        <x:v>215</x:v>
      </x:c>
      <x:c r="C952" s="2" t="str">
        <x:v>Fruit, Unclassified ----     </x:v>
      </x:c>
      <x:c r="D952" s="2" t="str">
        <x:v>"</x:v>
      </x:c>
      <x:c r="E952" s="8" t="n">
        <x:v>33893</x:v>
      </x:c>
      <x:c r="F952" s="8" t="n">
        <x:v>26550</x:v>
      </x:c>
    </x:row>
    <x:row r="953" ht="23" customHeight="1">
      <x:c r="A953" s="2" t="str">
        <x:v>Exports</x:v>
      </x:c>
      <x:c r="B953" s="2" t="n">
        <x:v>216</x:v>
      </x:c>
      <x:c r="C953" s="2" t="str">
        <x:v>Jams and Preserves ----     </x:v>
      </x:c>
      <x:c r="D953" s="2" t="str">
        <x:v>"</x:v>
      </x:c>
      <x:c r="E953" s="8" t="n">
        <x:v>30510</x:v>
      </x:c>
      <x:c r="F953" s="8" t="n">
        <x:v>41189</x:v>
      </x:c>
    </x:row>
    <x:row r="954" ht="23" customHeight="1">
      <x:c r="A954" s="2" t="str">
        <x:v>Exports</x:v>
      </x:c>
      <x:c r="B954" s="2" t="n">
        <x:v>217</x:v>
      </x:c>
      <x:c r="C954" s="2" t="str">
        <x:v>Potatoes ----     </x:v>
      </x:c>
      <x:c r="D954" s="2" t="str">
        <x:v>tons.</x:v>
      </x:c>
      <x:c r="E954" s="8" t="n">
        <x:v>75020</x:v>
      </x:c>
      <x:c r="F954" s="8" t="n">
        <x:v>262570</x:v>
      </x:c>
    </x:row>
    <x:row r="955" ht="23" customHeight="1">
      <x:c r="A955" s="2" t="str">
        <x:v>Exports</x:v>
      </x:c>
      <x:c r="B955" s="2" t="n">
        <x:v>218</x:v>
      </x:c>
      <x:c r="C955" s="2" t="str">
        <x:v>"       , Preserved ----     </x:v>
      </x:c>
      <x:c r="D955" s="2" t="str">
        <x:v>"</x:v>
      </x:c>
      <x:c r="E955" s="8" t="n">
        <x:v>535</x:v>
      </x:c>
      <x:c r="F955" s="8" t="n">
        <x:v>16050</x:v>
      </x:c>
    </x:row>
    <x:row r="956" ht="23" customHeight="1">
      <x:c r="A956" s="2" t="str">
        <x:v>Exports</x:v>
      </x:c>
      <x:c r="B956" s="2" t="n">
        <x:v>219</x:v>
      </x:c>
      <x:c r="C956" s="2" t="str">
        <x:v>Turnips ----     </x:v>
      </x:c>
      <x:c r="D956" s="2" t="str">
        <x:v>"</x:v>
      </x:c>
      <x:c r="E956" s="8" t="n">
        <x:v>458</x:v>
      </x:c>
      <x:c r="F956" s="8" t="n">
        <x:v>572</x:v>
      </x:c>
    </x:row>
    <x:row r="957" ht="23" customHeight="1">
      <x:c r="A957" s="2" t="str">
        <x:v>Exports</x:v>
      </x:c>
      <x:c r="B957" s="2" t="n">
        <x:v>220</x:v>
      </x:c>
      <x:c r="C957" s="2" t="str">
        <x:v>Vegetables, unclassified ----     </x:v>
      </x:c>
      <x:c r="D957" s="2" t="str">
        <x:v>"</x:v>
      </x:c>
      <x:c r="E957" s="8" t="n">
        <x:v>2833</x:v>
      </x:c>
      <x:c r="F957" s="8" t="n">
        <x:v>2160</x:v>
      </x:c>
    </x:row>
    <x:row r="958" ht="23" customHeight="1">
      <x:c r="A958" s="2" t="str">
        <x:v>Exports</x:v>
      </x:c>
      <x:c r="B958" s="2" t="n">
        <x:v>221</x:v>
      </x:c>
      <x:c r="C958" s="2" t="str">
        <x:v>Plants, Trees, &amp;c. ----     </x:v>
      </x:c>
      <x:c r="D958" s="2" t="str">
        <x:v>cwts.</x:v>
      </x:c>
      <x:c r="E958" s="8" t="n">
        <x:v>5886</x:v>
      </x:c>
      <x:c r="F958" s="8" t="n">
        <x:v>22073</x:v>
      </x:c>
    </x:row>
    <x:row r="959" ht="23" customHeight="1">
      <x:c r="A959" s="2" t="str">
        <x:v>Exports</x:v>
      </x:c>
      <x:c r="B959" s="2" t="n">
        <x:v>222</x:v>
      </x:c>
      <x:c r="C959" s="2" t="str">
        <x:v>     </x:v>
      </x:c>
      <x:c r="D959" s="2"/>
      <x:c r="E959" s="8"/>
      <x:c r="F959" s="8"/>
    </x:row>
    <x:row r="960" ht="23" customHeight="1">
      <x:c r="A960" s="2" t="str">
        <x:v>Exports</x:v>
      </x:c>
      <x:c r="B960" s="2" t="n">
        <x:v>223</x:v>
      </x:c>
      <x:c r="C960" s="2" t="str">
        <x:v>     </x:v>
      </x:c>
      <x:c r="D960" s="2"/>
      <x:c r="E960" s="8"/>
      <x:c r="F960" s="8"/>
    </x:row>
    <x:row r="961" ht="23" customHeight="1">
      <x:c r="A961" s="2" t="str">
        <x:v>Exports</x:v>
      </x:c>
      <x:c r="B961" s="2" t="n">
        <x:v>224</x:v>
      </x:c>
      <x:c r="C961" s="2" t="str">
        <x:v>     </x:v>
      </x:c>
      <x:c r="D961" s="2"/>
      <x:c r="E961" s="8"/>
      <x:c r="F961" s="8"/>
    </x:row>
    <x:row r="962" ht="23" customHeight="1">
      <x:c r="A962" s="2" t="str">
        <x:v>Exports</x:v>
      </x:c>
      <x:c r="B962" s="2" t="n">
        <x:v>225</x:v>
      </x:c>
      <x:c r="C962" s="2" t="str">
        <x:v>114. GLASS and GLASSWARE, Unclassified ----     </x:v>
      </x:c>
      <x:c r="D962" s="2" t="str">
        <x:v>"</x:v>
      </x:c>
      <x:c r="E962" s="8" t="n">
        <x:v>5390</x:v>
      </x:c>
      <x:c r="F962" s="8" t="n">
        <x:v>4447</x:v>
      </x:c>
    </x:row>
    <x:row r="963" ht="23" customHeight="1">
      <x:c r="A963" s="2" t="str">
        <x:v>Exports</x:v>
      </x:c>
      <x:c r="B963" s="2" t="n">
        <x:v>226</x:v>
      </x:c>
      <x:c r="C963" s="2" t="str">
        <x:v>"                   "              , Cullet ----     </x:v>
      </x:c>
      <x:c r="D963" s="2" t="str">
        <x:v>"</x:v>
      </x:c>
      <x:c r="E963" s="8" t="n">
        <x:v>2545</x:v>
      </x:c>
      <x:c r="F963" s="8" t="n">
        <x:v>80</x:v>
      </x:c>
    </x:row>
    <x:row r="964" ht="23" customHeight="1">
      <x:c r="A964" s="2" t="str">
        <x:v>Exports</x:v>
      </x:c>
      <x:c r="B964" s="2" t="n">
        <x:v>227</x:v>
      </x:c>
      <x:c r="C964" s="2" t="str">
        <x:v>"                  "               , Bottles ----     </x:v>
      </x:c>
      <x:c r="D964" s="2" t="str">
        <x:v>"</x:v>
      </x:c>
      <x:c r="E964" s="8" t="n">
        <x:v>4363</x:v>
      </x:c>
      <x:c r="F964" s="8" t="n">
        <x:v>1527</x:v>
      </x:c>
    </x:row>
    <x:row r="965" ht="23" customHeight="1">
      <x:c r="A965" s="2" t="str">
        <x:v>Exports</x:v>
      </x:c>
      <x:c r="B965" s="2" t="n">
        <x:v>228</x:v>
      </x:c>
      <x:c r="C965" s="2" t="str">
        <x:v>     </x:v>
      </x:c>
      <x:c r="D965" s="2"/>
      <x:c r="E965" s="8"/>
      <x:c r="F965" s="8"/>
    </x:row>
    <x:row r="966" ht="23" customHeight="1">
      <x:c r="A966" s="2" t="str">
        <x:v>Exports</x:v>
      </x:c>
      <x:c r="B966" s="2" t="n">
        <x:v>229</x:v>
      </x:c>
      <x:c r="C966" s="2" t="str">
        <x:v>     </x:v>
      </x:c>
      <x:c r="D966" s="2"/>
      <x:c r="E966" s="8"/>
      <x:c r="F966" s="8"/>
    </x:row>
    <x:row r="967" ht="23" customHeight="1">
      <x:c r="A967" s="2" t="str">
        <x:v>Exports</x:v>
      </x:c>
      <x:c r="B967" s="2" t="n">
        <x:v>230</x:v>
      </x:c>
      <x:c r="C967" s="2" t="str">
        <x:v>     </x:v>
      </x:c>
      <x:c r="D967" s="2"/>
      <x:c r="E967" s="8"/>
      <x:c r="F967" s="8"/>
    </x:row>
    <x:row r="968" ht="23" customHeight="1">
      <x:c r="A968" s="2" t="str">
        <x:v>Exports</x:v>
      </x:c>
      <x:c r="B968" s="2" t="n">
        <x:v>231</x:v>
      </x:c>
      <x:c r="C968" s="2" t="str">
        <x:v>115. GLUE ----     </x:v>
      </x:c>
      <x:c r="D968" s="2" t="str">
        <x:v>"</x:v>
      </x:c>
      <x:c r="E968" s="8" t="n">
        <x:v>4618</x:v>
      </x:c>
      <x:c r="F968" s="8" t="n">
        <x:v>5542</x:v>
      </x:c>
    </x:row>
    <x:row r="969" ht="23" customHeight="1">
      <x:c r="A969" s="2" t="str">
        <x:v>Exports</x:v>
      </x:c>
      <x:c r="B969" s="2" t="n">
        <x:v>232</x:v>
      </x:c>
      <x:c r="C969" s="2" t="str">
        <x:v>     </x:v>
      </x:c>
      <x:c r="D969" s="2"/>
      <x:c r="E969" s="8"/>
      <x:c r="F969" s="8"/>
    </x:row>
    <x:row r="970" ht="23" customHeight="1">
      <x:c r="A970" s="2" t="str">
        <x:v>Exports</x:v>
      </x:c>
      <x:c r="B970" s="2" t="n">
        <x:v>233</x:v>
      </x:c>
      <x:c r="C970" s="2" t="str">
        <x:v>     </x:v>
      </x:c>
      <x:c r="D970" s="2"/>
      <x:c r="E970" s="8"/>
      <x:c r="F970" s="8"/>
    </x:row>
    <x:row r="971" ht="23" customHeight="1">
      <x:c r="A971" s="2" t="str">
        <x:v>Exports</x:v>
      </x:c>
      <x:c r="B971" s="2" t="n">
        <x:v>234</x:v>
      </x:c>
      <x:c r="C971" s="2" t="str">
        <x:v>     </x:v>
      </x:c>
      <x:c r="D971" s="2"/>
      <x:c r="E971" s="8"/>
      <x:c r="F971" s="8"/>
    </x:row>
    <x:row r="972" ht="23" customHeight="1">
      <x:c r="A972" s="2" t="str">
        <x:v>Exports</x:v>
      </x:c>
      <x:c r="B972" s="2" t="n">
        <x:v>235</x:v>
      </x:c>
      <x:c r="C972" s="2" t="str">
        <x:v>116. GUM ----     </x:v>
      </x:c>
      <x:c r="D972" s="2" t="str">
        <x:v>"</x:v>
      </x:c>
      <x:c r="E972" s="8" t="n">
        <x:v>37</x:v>
      </x:c>
      <x:c r="F972" s="8" t="n">
        <x:v>123</x:v>
      </x:c>
    </x:row>
    <x:row r="973" ht="23" customHeight="1">
      <x:c r="A973" s="2" t="str">
        <x:v>Exports</x:v>
      </x:c>
      <x:c r="B973" s="2" t="n">
        <x:v>236</x:v>
      </x:c>
      <x:c r="C973" s="2" t="str">
        <x:v>     </x:v>
      </x:c>
      <x:c r="D973" s="2"/>
      <x:c r="E973" s="8"/>
      <x:c r="F973" s="8"/>
    </x:row>
    <x:row r="974" ht="23" customHeight="1">
      <x:c r="A974" s="2" t="str">
        <x:v>Exports</x:v>
      </x:c>
      <x:c r="B974" s="2" t="n">
        <x:v>237</x:v>
      </x:c>
      <x:c r="C974" s="2" t="str">
        <x:v>     </x:v>
      </x:c>
      <x:c r="D974" s="2"/>
      <x:c r="E974" s="8"/>
      <x:c r="F974" s="8"/>
    </x:row>
    <x:row r="975" ht="23" customHeight="1">
      <x:c r="A975" s="2" t="str">
        <x:v>Exports</x:v>
      </x:c>
      <x:c r="B975" s="2" t="n">
        <x:v>238</x:v>
      </x:c>
      <x:c r="C975" s="2" t="str">
        <x:v>     </x:v>
      </x:c>
      <x:c r="D975" s="2"/>
      <x:c r="E975" s="8"/>
      <x:c r="F975" s="8"/>
    </x:row>
    <x:row r="976" ht="23" customHeight="1">
      <x:c r="A976" s="2" t="str">
        <x:v>Exports</x:v>
      </x:c>
      <x:c r="B976" s="2" t="n">
        <x:v>239</x:v>
      </x:c>
      <x:c r="C976" s="2" t="str">
        <x:v>117. GRAIN,FLOUR and FEEDING STUFFS -     </x:v>
      </x:c>
      <x:c r="D976" s="2"/>
      <x:c r="E976" s="8"/>
      <x:c r="F976" s="8"/>
    </x:row>
    <x:row r="977" ht="23" customHeight="1">
      <x:c r="A977" s="2" t="str">
        <x:v>Exports</x:v>
      </x:c>
      <x:c r="B977" s="2" t="n">
        <x:v>240</x:v>
      </x:c>
      <x:c r="C977" s="2" t="str">
        <x:v>Wheat ----     </x:v>
      </x:c>
      <x:c r="D977" s="2" t="str">
        <x:v>"</x:v>
      </x:c>
      <x:c r="E977" s="8" t="n">
        <x:v>3765</x:v>
      </x:c>
      <x:c r="F977" s="8" t="n">
        <x:v>1506</x:v>
      </x:c>
    </x:row>
    <x:row r="978" ht="23" customHeight="1">
      <x:c r="A978" s="2" t="str">
        <x:v>Exports</x:v>
      </x:c>
      <x:c r="B978" s="2" t="n">
        <x:v>241</x:v>
      </x:c>
      <x:c r="C978" s="2" t="str">
        <x:v>Oats ----     </x:v>
      </x:c>
      <x:c r="D978" s="2" t="str">
        <x:v>"</x:v>
      </x:c>
      <x:c r="E978" s="8" t="n">
        <x:v>893892</x:v>
      </x:c>
      <x:c r="F978" s="8" t="n">
        <x:v>268168</x:v>
      </x:c>
    </x:row>
    <x:row r="979" ht="23" customHeight="1">
      <x:c r="A979" s="2" t="str">
        <x:v>Exports</x:v>
      </x:c>
      <x:c r="B979" s="2" t="n">
        <x:v>242</x:v>
      </x:c>
      <x:c r="C979" s="2" t="str">
        <x:v>Barley ----     </x:v>
      </x:c>
      <x:c r="D979" s="2" t="str">
        <x:v>"</x:v>
      </x:c>
      <x:c r="E979" s="8" t="n">
        <x:v>55018</x:v>
      </x:c>
      <x:c r="F979" s="8" t="n">
        <x:v>16505</x:v>
      </x:c>
    </x:row>
    <x:row r="980" ht="23" customHeight="1">
      <x:c r="A980" s="2" t="str">
        <x:v>Exports</x:v>
      </x:c>
      <x:c r="B980" s="2" t="n">
        <x:v>243</x:v>
      </x:c>
      <x:c r="C980" s="2" t="str">
        <x:v>Malt ----     </x:v>
      </x:c>
      <x:c r="D980" s="2" t="str">
        <x:v>"</x:v>
      </x:c>
      <x:c r="E980" s="8" t="n">
        <x:v>90838</x:v>
      </x:c>
      <x:c r="F980" s="8" t="n">
        <x:v>57475</x:v>
      </x:c>
    </x:row>
    <x:row r="981" ht="23" customHeight="1">
      <x:c r="A981" s="2" t="str">
        <x:v>Exports</x:v>
      </x:c>
      <x:c r="B981" s="2" t="n">
        <x:v>244</x:v>
      </x:c>
      <x:c r="C981" s="2" t="str">
        <x:v>Rye ----     </x:v>
      </x:c>
      <x:c r="D981" s="2" t="str">
        <x:v>"</x:v>
      </x:c>
      <x:c r="E981" s="8" t="n">
        <x:v>590</x:v>
      </x:c>
      <x:c r="F981" s="8" t="n">
        <x:v>162</x:v>
      </x:c>
    </x:row>
    <x:row r="982" ht="23" customHeight="1">
      <x:c r="A982" s="2" t="str">
        <x:v>Exports</x:v>
      </x:c>
      <x:c r="B982" s="2" t="n">
        <x:v>245</x:v>
      </x:c>
      <x:c r="C982" s="2" t="str">
        <x:v>Maize ----     </x:v>
      </x:c>
      <x:c r="D982" s="2" t="str">
        <x:v>"</x:v>
      </x:c>
      <x:c r="E982" s="8" t="n">
        <x:v>735557</x:v>
      </x:c>
      <x:c r="F982" s="8" t="n">
        <x:v>174694</x:v>
      </x:c>
    </x:row>
    <x:row r="983" ht="23" customHeight="1">
      <x:c r="A983" s="2" t="str">
        <x:v>Exports</x:v>
      </x:c>
      <x:c r="B983" s="2" t="n">
        <x:v>246</x:v>
      </x:c>
      <x:c r="C983" s="2" t="str">
        <x:v>Peas ---     </x:v>
      </x:c>
      <x:c r="D983" s="2" t="str">
        <x:v>"</x:v>
      </x:c>
      <x:c r="E983" s="8" t="n">
        <x:v>342</x:v>
      </x:c>
      <x:c r="F983" s="8" t="n">
        <x:v>128</x:v>
      </x:c>
    </x:row>
    <x:row r="984" ht="23" customHeight="1">
      <x:c r="A984" s="2" t="str">
        <x:v>Exports</x:v>
      </x:c>
      <x:c r="B984" s="2" t="n">
        <x:v>247</x:v>
      </x:c>
      <x:c r="C984" s="2" t="str">
        <x:v>Beans ----     </x:v>
      </x:c>
      <x:c r="D984" s="2" t="str">
        <x:v>"</x:v>
      </x:c>
      <x:c r="E984" s="8" t="n">
        <x:v>11771</x:v>
      </x:c>
      <x:c r="F984" s="8" t="n">
        <x:v>5297</x:v>
      </x:c>
    </x:row>
    <x:row r="985" ht="23" customHeight="1">
      <x:c r="A985" s="2" t="str">
        <x:v>Exports</x:v>
      </x:c>
      <x:c r="B985" s="2" t="n">
        <x:v>248</x:v>
      </x:c>
      <x:c r="C985" s="2" t="str">
        <x:v>Tares ----     </x:v>
      </x:c>
      <x:c r="D985" s="2" t="str">
        <x:v>"</x:v>
      </x:c>
      <x:c r="E985" s="8" t="n">
        <x:v>817</x:v>
      </x:c>
      <x:c r="F985" s="8" t="n">
        <x:v>255</x:v>
      </x:c>
    </x:row>
    <x:row r="986" ht="23" customHeight="1">
      <x:c r="A986" s="2" t="str">
        <x:v>Exports</x:v>
      </x:c>
      <x:c r="B986" s="2" t="n">
        <x:v>249</x:v>
      </x:c>
      <x:c r="C986" s="2" t="str">
        <x:v>Hops ----     </x:v>
      </x:c>
      <x:c r="D986" s="2" t="str">
        <x:v>"</x:v>
      </x:c>
      <x:c r="E986" s="8" t="n">
        <x:v>823</x:v>
      </x:c>
      <x:c r="F986" s="8" t="n">
        <x:v>4815</x:v>
      </x:c>
    </x:row>
    <x:row r="987" ht="23" customHeight="1">
      <x:c r="A987" s="2" t="str">
        <x:v>Exports</x:v>
      </x:c>
      <x:c r="B987" s="2" t="n">
        <x:v>250</x:v>
      </x:c>
      <x:c r="C987" s="2" t="str">
        <x:v>Wheat Flour ----     </x:v>
      </x:c>
      <x:c r="D987" s="2" t="str">
        <x:v>"</x:v>
      </x:c>
      <x:c r="E987" s="8" t="n">
        <x:v>227817</x:v>
      </x:c>
      <x:c r="F987" s="8" t="n">
        <x:v>112007</x:v>
      </x:c>
    </x:row>
    <x:row r="988" ht="23" customHeight="1">
      <x:c r="A988" s="2" t="str">
        <x:v>Exports</x:v>
      </x:c>
      <x:c r="B988" s="2" t="n">
        <x:v>251</x:v>
      </x:c>
      <x:c r="C988" s="2" t="str">
        <x:v>Oatmeal ----     </x:v>
      </x:c>
      <x:c r="D988" s="2" t="str">
        <x:v>"</x:v>
      </x:c>
      <x:c r="E988" s="8" t="n">
        <x:v>176123</x:v>
      </x:c>
      <x:c r="F988" s="8" t="n">
        <x:v>90263</x:v>
      </x:c>
    </x:row>
    <x:row r="989" ht="23" customHeight="1">
      <x:c r="A989" s="2" t="str">
        <x:v>Exports</x:v>
      </x:c>
      <x:c r="B989" s="2" t="n">
        <x:v>252</x:v>
      </x:c>
      <x:c r="C989" s="2" t="str">
        <x:v>Indian Meal ----     </x:v>
      </x:c>
      <x:c r="D989" s="2" t="str">
        <x:v>"</x:v>
      </x:c>
      <x:c r="E989" s="8" t="n">
        <x:v>6484</x:v>
      </x:c>
      <x:c r="F989" s="8" t="n">
        <x:v>2053</x:v>
      </x:c>
    </x:row>
    <x:row r="990" ht="23" customHeight="1">
      <x:c r="A990" s="2" t="str">
        <x:v>Exports</x:v>
      </x:c>
      <x:c r="B990" s="2" t="n">
        <x:v>253</x:v>
      </x:c>
      <x:c r="C990" s="2" t="str">
        <x:v>Bran and Pollard ----     </x:v>
      </x:c>
      <x:c r="D990" s="2" t="str">
        <x:v>"</x:v>
      </x:c>
      <x:c r="E990" s="8" t="n">
        <x:v>57084</x:v>
      </x:c>
      <x:c r="F990" s="8" t="n">
        <x:v>11417</x:v>
      </x:c>
    </x:row>
    <x:row r="991" ht="23" customHeight="1">
      <x:c r="A991" s="2" t="str">
        <x:v>Exports</x:v>
      </x:c>
      <x:c r="B991" s="2" t="n">
        <x:v>254</x:v>
      </x:c>
      <x:c r="C991" s="2" t="str">
        <x:v>Rice,Sago,Tapioca,Corn Flour and Farina ----     </x:v>
      </x:c>
      <x:c r="D991" s="2" t="str">
        <x:v>"</x:v>
      </x:c>
      <x:c r="E991" s="8" t="n">
        <x:v>2113</x:v>
      </x:c>
      <x:c r="F991" s="8" t="n">
        <x:v>1143</x:v>
      </x:c>
    </x:row>
    <x:row r="992" ht="23" customHeight="1">
      <x:c r="A992" s="2" t="str">
        <x:v>Exports</x:v>
      </x:c>
      <x:c r="B992" s="2" t="n">
        <x:v>255</x:v>
      </x:c>
      <x:c r="C992" s="2" t="str">
        <x:v>Grain Offal ----     </x:v>
      </x:c>
      <x:c r="D992" s="2" t="str">
        <x:v>"</x:v>
      </x:c>
      <x:c r="E992" s="8" t="n">
        <x:v>216053</x:v>
      </x:c>
      <x:c r="F992" s="8" t="n">
        <x:v>37809</x:v>
      </x:c>
    </x:row>
    <x:row r="993" ht="23" customHeight="1">
      <x:c r="A993" s="2" t="str">
        <x:v>Exports</x:v>
      </x:c>
      <x:c r="B993" s="2" t="n">
        <x:v>256</x:v>
      </x:c>
      <x:c r="C993" s="2" t="str">
        <x:v>Grains ----     </x:v>
      </x:c>
      <x:c r="D993" s="2" t="str">
        <x:v>"</x:v>
      </x:c>
      <x:c r="E993" s="8" t="n">
        <x:v>116294</x:v>
      </x:c>
      <x:c r="F993" s="8" t="n">
        <x:v>29073</x:v>
      </x:c>
    </x:row>
    <x:row r="994" ht="23" customHeight="1">
      <x:c r="A994" s="2" t="str">
        <x:v>Exports</x:v>
      </x:c>
      <x:c r="B994" s="2" t="n">
        <x:v>257</x:v>
      </x:c>
      <x:c r="C994" s="2" t="str">
        <x:v>Cattle Meals ----     </x:v>
      </x:c>
      <x:c r="D994" s="2" t="str">
        <x:v>"</x:v>
      </x:c>
      <x:c r="E994" s="8" t="n">
        <x:v>30025</x:v>
      </x:c>
      <x:c r="F994" s="8" t="n">
        <x:v>7506</x:v>
      </x:c>
    </x:row>
    <x:row r="995" ht="23" customHeight="1">
      <x:c r="A995" s="2" t="str">
        <x:v>Exports</x:v>
      </x:c>
      <x:c r="B995" s="2" t="n">
        <x:v>258</x:v>
      </x:c>
      <x:c r="C995" s="2" t="str">
        <x:v>Cotton Meal ----     </x:v>
      </x:c>
      <x:c r="D995" s="2" t="str">
        <x:v>"</x:v>
      </x:c>
      <x:c r="E995" s="8" t="n">
        <x:v>9420</x:v>
      </x:c>
      <x:c r="F995" s="8" t="n">
        <x:v>2826</x:v>
      </x:c>
    </x:row>
    <x:row r="996" ht="23" customHeight="1">
      <x:c r="A996" s="2" t="str">
        <x:v>Exports</x:v>
      </x:c>
      <x:c r="B996" s="2" t="n">
        <x:v>259</x:v>
      </x:c>
      <x:c r="C996" s="2" t="str">
        <x:v>Oil Cake ----     </x:v>
      </x:c>
      <x:c r="D996" s="2" t="str">
        <x:v>tons.</x:v>
      </x:c>
      <x:c r="E996" s="8" t="n">
        <x:v>1788</x:v>
      </x:c>
      <x:c r="F996" s="8" t="n">
        <x:v>9684</x:v>
      </x:c>
    </x:row>
    <x:row r="997" ht="23" customHeight="1">
      <x:c r="A997" s="2" t="str">
        <x:v>Exports</x:v>
      </x:c>
      <x:c r="B997" s="2" t="n">
        <x:v>260</x:v>
      </x:c>
      <x:c r="C997" s="2" t="str">
        <x:v>     </x:v>
      </x:c>
      <x:c r="D997" s="2"/>
      <x:c r="E997" s="8"/>
      <x:c r="F997" s="8"/>
    </x:row>
    <x:row r="998" ht="23" customHeight="1">
      <x:c r="A998" s="2" t="str">
        <x:v>Exports</x:v>
      </x:c>
      <x:c r="B998" s="2" t="n">
        <x:v>261</x:v>
      </x:c>
      <x:c r="C998" s="2" t="str">
        <x:v>     </x:v>
      </x:c>
      <x:c r="D998" s="2"/>
      <x:c r="E998" s="8"/>
      <x:c r="F998" s="8"/>
    </x:row>
    <x:row r="999" ht="23" customHeight="1">
      <x:c r="A999" s="2" t="str">
        <x:v>Exports</x:v>
      </x:c>
      <x:c r="B999" s="2" t="n">
        <x:v>262</x:v>
      </x:c>
      <x:c r="C999" s="2" t="str">
        <x:v>     </x:v>
      </x:c>
      <x:c r="D999" s="2"/>
      <x:c r="E999" s="8"/>
      <x:c r="F999" s="8"/>
    </x:row>
    <x:row r="1000" ht="23" customHeight="1">
      <x:c r="A1000" s="2" t="str">
        <x:v>Exports</x:v>
      </x:c>
      <x:c r="B1000" s="2" t="n">
        <x:v>263</x:v>
      </x:c>
      <x:c r="C1000" s="2" t="str">
        <x:v>118. HAY and STRAW ----     </x:v>
      </x:c>
      <x:c r="D1000" s="2" t="str">
        <x:v>"</x:v>
      </x:c>
      <x:c r="E1000" s="8" t="n">
        <x:v>3752</x:v>
      </x:c>
      <x:c r="F1000" s="8" t="n">
        <x:v>10506</x:v>
      </x:c>
    </x:row>
    <x:row r="1001" ht="23" customHeight="1">
      <x:c r="A1001" s="2" t="str">
        <x:v>Exports</x:v>
      </x:c>
      <x:c r="B1001" s="2" t="n">
        <x:v>264</x:v>
      </x:c>
      <x:c r="C1001" s="2" t="str">
        <x:v>     </x:v>
      </x:c>
      <x:c r="D1001" s="2"/>
      <x:c r="E1001" s="8"/>
      <x:c r="F1001" s="8"/>
    </x:row>
    <x:row r="1002" ht="23" customHeight="1">
      <x:c r="A1002" s="2" t="str">
        <x:v>Exports</x:v>
      </x:c>
      <x:c r="B1002" s="2" t="n">
        <x:v>265</x:v>
      </x:c>
      <x:c r="C1002" s="2" t="str">
        <x:v>     </x:v>
      </x:c>
      <x:c r="D1002" s="2"/>
      <x:c r="E1002" s="8"/>
      <x:c r="F1002" s="8"/>
    </x:row>
    <x:row r="1003" ht="23" customHeight="1">
      <x:c r="A1003" s="2" t="str">
        <x:v>Exports</x:v>
      </x:c>
      <x:c r="B1003" s="2" t="n">
        <x:v>266</x:v>
      </x:c>
      <x:c r="C1003" s="2" t="str">
        <x:v>     </x:v>
      </x:c>
      <x:c r="D1003" s="2"/>
      <x:c r="E1003" s="8"/>
      <x:c r="F1003" s="8"/>
    </x:row>
    <x:row r="1004" ht="23" customHeight="1">
      <x:c r="A1004" s="2" t="str">
        <x:v>Exports</x:v>
      </x:c>
      <x:c r="B1004" s="2" t="n">
        <x:v>267</x:v>
      </x:c>
      <x:c r="C1004" s="2" t="str">
        <x:v>119. HIDES,SKINS,LEATHER, and MANUFACTURES THEREOF -     </x:v>
      </x:c>
      <x:c r="D1004" s="2"/>
      <x:c r="E1004" s="8"/>
      <x:c r="F1004" s="8"/>
    </x:row>
    <x:row r="1005" ht="23" customHeight="1">
      <x:c r="A1005" s="2" t="str">
        <x:v>Exports</x:v>
      </x:c>
      <x:c r="B1005" s="2" t="n">
        <x:v>268</x:v>
      </x:c>
      <x:c r="C1005" s="2" t="str">
        <x:v>Hides ----     </x:v>
      </x:c>
      <x:c r="D1005" s="2" t="str">
        <x:v>cwts.</x:v>
      </x:c>
      <x:c r="E1005" s="8" t="n">
        <x:v>103959</x:v>
      </x:c>
      <x:c r="F1005" s="8" t="n">
        <x:v>206185</x:v>
      </x:c>
    </x:row>
    <x:row r="1006" ht="23" customHeight="1">
      <x:c r="A1006" s="2" t="str">
        <x:v>Exports</x:v>
      </x:c>
      <x:c r="B1006" s="2" t="n">
        <x:v>269</x:v>
      </x:c>
      <x:c r="C1006" s="2" t="str">
        <x:v>Skins ----     </x:v>
      </x:c>
      <x:c r="D1006" s="2" t="str">
        <x:v>"</x:v>
      </x:c>
      <x:c r="E1006" s="8" t="n">
        <x:v>98898</x:v>
      </x:c>
      <x:c r="F1006" s="8" t="n">
        <x:v>279914</x:v>
      </x:c>
    </x:row>
    <x:row r="1007" ht="23" customHeight="1">
      <x:c r="A1007" s="2" t="str">
        <x:v>Exports</x:v>
      </x:c>
      <x:c r="B1007" s="2" t="n">
        <x:v>270</x:v>
      </x:c>
      <x:c r="C1007" s="2" t="str">
        <x:v>Leather ----     </x:v>
      </x:c>
      <x:c r="D1007" s="2" t="str">
        <x:v>"</x:v>
      </x:c>
      <x:c r="E1007" s="8" t="n">
        <x:v>9017</x:v>
      </x:c>
      <x:c r="F1007" s="8" t="n">
        <x:v>67327</x:v>
      </x:c>
    </x:row>
    <x:row r="1008" ht="23" customHeight="1">
      <x:c r="A1008" s="2" t="str">
        <x:v>Exports</x:v>
      </x:c>
      <x:c r="B1008" s="2" t="n">
        <x:v>271</x:v>
      </x:c>
      <x:c r="C1008" s="2" t="str">
        <x:v>Boots and Shoes ----     </x:v>
      </x:c>
      <x:c r="D1008" s="2" t="str">
        <x:v>"</x:v>
      </x:c>
      <x:c r="E1008" s="8" t="n">
        <x:v>2804</x:v>
      </x:c>
      <x:c r="F1008" s="8" t="n">
        <x:v>36022</x:v>
      </x:c>
    </x:row>
    <x:row r="1009" ht="23" customHeight="1">
      <x:c r="A1009" s="2" t="str">
        <x:v>Exports</x:v>
      </x:c>
      <x:c r="B1009" s="2" t="n">
        <x:v>272</x:v>
      </x:c>
      <x:c r="C1009" s="2" t="str">
        <x:v>Saddlery ----     </x:v>
      </x:c>
      <x:c r="D1009" s="2" t="str">
        <x:v>"</x:v>
      </x:c>
      <x:c r="E1009" s="8" t="n">
        <x:v>349</x:v>
      </x:c>
      <x:c r="F1009" s="8" t="n">
        <x:v>4900</x:v>
      </x:c>
    </x:row>
    <x:row r="1010" ht="23" customHeight="1">
      <x:c r="A1010" s="2" t="str">
        <x:v>Exports</x:v>
      </x:c>
      <x:c r="B1010" s="2" t="n">
        <x:v>273</x:v>
      </x:c>
      <x:c r="C1010" s="2" t="str">
        <x:v>Clogs ----     </x:v>
      </x:c>
      <x:c r="D1010" s="2" t="str">
        <x:v>"</x:v>
      </x:c>
      <x:c r="E1010" s="8" t="n">
        <x:v>4938</x:v>
      </x:c>
      <x:c r="F1010" s="8" t="n">
        <x:v>20739</x:v>
      </x:c>
    </x:row>
    <x:row r="1011" ht="23" customHeight="1">
      <x:c r="A1011" s="2" t="str">
        <x:v>Exports</x:v>
      </x:c>
      <x:c r="B1011" s="2" t="n">
        <x:v>274</x:v>
      </x:c>
      <x:c r="C1011" s="2" t="str">
        <x:v>     </x:v>
      </x:c>
      <x:c r="D1011" s="2"/>
      <x:c r="E1011" s="8"/>
      <x:c r="F1011" s="8"/>
    </x:row>
    <x:row r="1012" ht="23" customHeight="1">
      <x:c r="A1012" s="2" t="str">
        <x:v>Exports</x:v>
      </x:c>
      <x:c r="B1012" s="2" t="n">
        <x:v>275</x:v>
      </x:c>
      <x:c r="C1012" s="2" t="str">
        <x:v>     </x:v>
      </x:c>
      <x:c r="D1012" s="2"/>
      <x:c r="E1012" s="8"/>
      <x:c r="F1012" s="8"/>
    </x:row>
    <x:row r="1013" ht="23" customHeight="1">
      <x:c r="A1013" s="2" t="str">
        <x:v>Exports</x:v>
      </x:c>
      <x:c r="B1013" s="2" t="n">
        <x:v>276</x:v>
      </x:c>
      <x:c r="C1013" s="2" t="str">
        <x:v>     </x:v>
      </x:c>
      <x:c r="D1013" s="2"/>
      <x:c r="E1013" s="8"/>
      <x:c r="F1013" s="8"/>
    </x:row>
    <x:row r="1014" ht="23" customHeight="1">
      <x:c r="A1014" s="2" t="str">
        <x:v>Exports</x:v>
      </x:c>
      <x:c r="B1014" s="2" t="n">
        <x:v>277</x:v>
      </x:c>
      <x:c r="C1014" s="2" t="str">
        <x:v>120. HONEY ----     </x:v>
      </x:c>
      <x:c r="D1014" s="2" t="str">
        <x:v>"</x:v>
      </x:c>
      <x:c r="E1014" s="8" t="n">
        <x:v>153</x:v>
      </x:c>
      <x:c r="F1014" s="8" t="n">
        <x:v>405</x:v>
      </x:c>
    </x:row>
    <x:row r="1015" ht="23" customHeight="1">
      <x:c r="A1015" s="2" t="str">
        <x:v>Exports</x:v>
      </x:c>
      <x:c r="B1015" s="2" t="n">
        <x:v>278</x:v>
      </x:c>
      <x:c r="C1015" s="2" t="str">
        <x:v>     </x:v>
      </x:c>
      <x:c r="D1015" s="2"/>
      <x:c r="E1015" s="8"/>
      <x:c r="F1015" s="8"/>
    </x:row>
    <x:row r="1016" ht="23" customHeight="1">
      <x:c r="A1016" s="2" t="str">
        <x:v>Exports</x:v>
      </x:c>
      <x:c r="B1016" s="2" t="n">
        <x:v>279</x:v>
      </x:c>
      <x:c r="C1016" s="2" t="str">
        <x:v>     </x:v>
      </x:c>
      <x:c r="D1016" s="2"/>
      <x:c r="E1016" s="8"/>
      <x:c r="F1016" s="8"/>
    </x:row>
    <x:row r="1017" ht="23" customHeight="1">
      <x:c r="A1017" s="2" t="str">
        <x:v>Exports</x:v>
      </x:c>
      <x:c r="B1017" s="2" t="n">
        <x:v>280</x:v>
      </x:c>
      <x:c r="C1017" s="2" t="str">
        <x:v>     </x:v>
      </x:c>
      <x:c r="D1017" s="2"/>
      <x:c r="E1017" s="8"/>
      <x:c r="F1017" s="8"/>
    </x:row>
    <x:row r="1018" ht="23" customHeight="1">
      <x:c r="A1018" s="2" t="str">
        <x:v>Exports</x:v>
      </x:c>
      <x:c r="B1018" s="2" t="n">
        <x:v>281</x:v>
      </x:c>
      <x:c r="C1018" s="2" t="str">
        <x:v>121. HORNS and HOOFS ----     </x:v>
      </x:c>
      <x:c r="D1018" s="2" t="str">
        <x:v>"</x:v>
      </x:c>
      <x:c r="E1018" s="8" t="n">
        <x:v>980</x:v>
      </x:c>
      <x:c r="F1018" s="8" t="n">
        <x:v>1658</x:v>
      </x:c>
    </x:row>
    <x:row r="1019" ht="23" customHeight="1">
      <x:c r="A1019" s="2" t="str">
        <x:v>Exports</x:v>
      </x:c>
      <x:c r="B1019" s="2" t="n">
        <x:v>282</x:v>
      </x:c>
      <x:c r="C1019" s="2" t="str">
        <x:v>     </x:v>
      </x:c>
      <x:c r="D1019" s="2"/>
      <x:c r="E1019" s="8"/>
      <x:c r="F1019" s="8"/>
    </x:row>
    <x:row r="1020" ht="23" customHeight="1">
      <x:c r="A1020" s="2" t="str">
        <x:v>Exports</x:v>
      </x:c>
      <x:c r="B1020" s="2" t="n">
        <x:v>283</x:v>
      </x:c>
      <x:c r="C1020" s="2" t="str">
        <x:v>     </x:v>
      </x:c>
      <x:c r="D1020" s="2"/>
      <x:c r="E1020" s="8"/>
      <x:c r="F1020" s="8"/>
    </x:row>
    <x:row r="1021" ht="23" customHeight="1">
      <x:c r="A1021" s="2" t="str">
        <x:v>Exports</x:v>
      </x:c>
      <x:c r="B1021" s="2" t="n">
        <x:v>284</x:v>
      </x:c>
      <x:c r="C1021" s="2" t="str">
        <x:v>     </x:v>
      </x:c>
      <x:c r="D1021" s="2"/>
      <x:c r="E1021" s="8"/>
      <x:c r="F1021" s="8"/>
    </x:row>
    <x:row r="1022" ht="23" customHeight="1">
      <x:c r="A1022" s="2" t="str">
        <x:v>Exports</x:v>
      </x:c>
      <x:c r="B1022" s="2" t="n">
        <x:v>285</x:v>
      </x:c>
      <x:c r="C1022" s="2" t="str">
        <x:v>122. INDIA - RUBBER GOODS ----     </x:v>
      </x:c>
      <x:c r="D1022" s="2" t="str">
        <x:v>"</x:v>
      </x:c>
      <x:c r="E1022" s="8" t="n">
        <x:v>1574</x:v>
      </x:c>
      <x:c r="F1022" s="8" t="n">
        <x:v>33915</x:v>
      </x:c>
    </x:row>
    <x:row r="1023" ht="23" customHeight="1">
      <x:c r="A1023" s="2" t="str">
        <x:v>Exports</x:v>
      </x:c>
      <x:c r="B1023" s="2" t="n">
        <x:v>286</x:v>
      </x:c>
      <x:c r="C1023" s="2" t="str">
        <x:v>"           "              "      , GUTTA - PERCHA ----     </x:v>
      </x:c>
      <x:c r="D1023" s="2" t="str">
        <x:v>"</x:v>
      </x:c>
      <x:c r="E1023" s="8" t="n">
        <x:v>147</x:v>
      </x:c>
      <x:c r="F1023" s="8" t="n">
        <x:v>1550</x:v>
      </x:c>
    </x:row>
    <x:row r="1024" ht="23" customHeight="1">
      <x:c r="A1024" s="2" t="str">
        <x:v>Exports</x:v>
      </x:c>
      <x:c r="B1024" s="2" t="n">
        <x:v>287</x:v>
      </x:c>
      <x:c r="C1024" s="2" t="str">
        <x:v>     </x:v>
      </x:c>
      <x:c r="D1024" s="2"/>
      <x:c r="E1024" s="8"/>
      <x:c r="F1024" s="8"/>
    </x:row>
    <x:row r="1025" ht="23" customHeight="1">
      <x:c r="A1025" s="2" t="str">
        <x:v>Exports</x:v>
      </x:c>
      <x:c r="B1025" s="2" t="n">
        <x:v>288</x:v>
      </x:c>
      <x:c r="C1025" s="2" t="str">
        <x:v>     </x:v>
      </x:c>
      <x:c r="D1025" s="2"/>
      <x:c r="E1025" s="8"/>
      <x:c r="F1025" s="8"/>
    </x:row>
    <x:row r="1026" ht="23" customHeight="1">
      <x:c r="A1026" s="2" t="str">
        <x:v>Exports</x:v>
      </x:c>
      <x:c r="B1026" s="2" t="n">
        <x:v>289</x:v>
      </x:c>
      <x:c r="C1026" s="2" t="str">
        <x:v>     </x:v>
      </x:c>
      <x:c r="D1026" s="2"/>
      <x:c r="E1026" s="8"/>
      <x:c r="F1026" s="8"/>
    </x:row>
    <x:row r="1027" ht="23" customHeight="1">
      <x:c r="A1027" s="2" t="str">
        <x:v>Exports</x:v>
      </x:c>
      <x:c r="B1027" s="2" t="n">
        <x:v>290</x:v>
      </x:c>
      <x:c r="C1027" s="2" t="str">
        <x:v>123. INK ----     </x:v>
      </x:c>
      <x:c r="D1027" s="2" t="str">
        <x:v>"</x:v>
      </x:c>
      <x:c r="E1027" s="8" t="n">
        <x:v>834</x:v>
      </x:c>
      <x:c r="F1027" s="8" t="n">
        <x:v>350</x:v>
      </x:c>
    </x:row>
    <x:row r="1028" ht="23" customHeight="1">
      <x:c r="A1028" s="2" t="str">
        <x:v>Exports</x:v>
      </x:c>
      <x:c r="B1028" s="2" t="n">
        <x:v>291</x:v>
      </x:c>
      <x:c r="C1028" s="2" t="str">
        <x:v>     </x:v>
      </x:c>
      <x:c r="D1028" s="2"/>
      <x:c r="E1028" s="8"/>
      <x:c r="F1028" s="8"/>
    </x:row>
    <x:row r="1029" ht="23" customHeight="1">
      <x:c r="A1029" s="2" t="str">
        <x:v>Exports</x:v>
      </x:c>
      <x:c r="B1029" s="2" t="n">
        <x:v>292</x:v>
      </x:c>
      <x:c r="C1029" s="2" t="str">
        <x:v>     </x:v>
      </x:c>
      <x:c r="D1029" s="2"/>
      <x:c r="E1029" s="8"/>
      <x:c r="F1029" s="8"/>
    </x:row>
    <x:row r="1030" ht="23" customHeight="1">
      <x:c r="A1030" s="2" t="str">
        <x:v>Exports</x:v>
      </x:c>
      <x:c r="B1030" s="2" t="n">
        <x:v>293</x:v>
      </x:c>
      <x:c r="C1030" s="2" t="str">
        <x:v>     </x:v>
      </x:c>
      <x:c r="D1030" s="2"/>
      <x:c r="E1030" s="8"/>
      <x:c r="F1030" s="8"/>
    </x:row>
    <x:row r="1031" ht="23" customHeight="1">
      <x:c r="A1031" s="2" t="str">
        <x:v>Exports</x:v>
      </x:c>
      <x:c r="B1031" s="2" t="n">
        <x:v>294</x:v>
      </x:c>
      <x:c r="C1031" s="2" t="str">
        <x:v>124. INSTRUMENTS, MUSICAL -     </x:v>
      </x:c>
      <x:c r="D1031" s="2"/>
      <x:c r="E1031" s="8"/>
      <x:c r="F1031" s="8"/>
    </x:row>
    <x:row r="1032" ht="23" customHeight="1">
      <x:c r="A1032" s="2" t="str">
        <x:v>Exports</x:v>
      </x:c>
      <x:c r="B1032" s="2" t="n">
        <x:v>295</x:v>
      </x:c>
      <x:c r="C1032" s="2" t="str">
        <x:v>Organs ---     </x:v>
      </x:c>
      <x:c r="D1032" s="2" t="str">
        <x:v>"</x:v>
      </x:c>
      <x:c r="E1032" s="8" t="n">
        <x:v>277</x:v>
      </x:c>
      <x:c r="F1032" s="8" t="n">
        <x:v>1662</x:v>
      </x:c>
    </x:row>
    <x:row r="1033" ht="23" customHeight="1">
      <x:c r="A1033" s="2" t="str">
        <x:v>Exports</x:v>
      </x:c>
      <x:c r="B1033" s="2" t="n">
        <x:v>296</x:v>
      </x:c>
      <x:c r="C1033" s="2" t="str">
        <x:v>Pianos ----     </x:v>
      </x:c>
      <x:c r="D1033" s="2" t="str">
        <x:v>No.</x:v>
      </x:c>
      <x:c r="E1033" s="8" t="n">
        <x:v>327</x:v>
      </x:c>
      <x:c r="F1033" s="8" t="n">
        <x:v>11445</x:v>
      </x:c>
    </x:row>
    <x:row r="1034" ht="23" customHeight="1">
      <x:c r="A1034" s="2" t="str">
        <x:v>Exports</x:v>
      </x:c>
      <x:c r="B1034" s="2" t="n">
        <x:v>297</x:v>
      </x:c>
      <x:c r="C1034" s="2" t="str">
        <x:v>Musical Instruements, unclassified ----     </x:v>
      </x:c>
      <x:c r="D1034" s="2" t="str">
        <x:v>cwts.</x:v>
      </x:c>
      <x:c r="E1034" s="8" t="n">
        <x:v>605</x:v>
      </x:c>
      <x:c r="F1034" s="8" t="n">
        <x:v>4538</x:v>
      </x:c>
    </x:row>
    <x:row r="1035" ht="23" customHeight="1">
      <x:c r="A1035" s="2" t="str">
        <x:v>Exports</x:v>
      </x:c>
      <x:c r="B1035" s="2" t="n">
        <x:v>298</x:v>
      </x:c>
      <x:c r="C1035" s="2" t="str">
        <x:v>     </x:v>
      </x:c>
      <x:c r="D1035" s="2"/>
      <x:c r="E1035" s="8"/>
      <x:c r="F1035" s="8"/>
    </x:row>
    <x:row r="1036" ht="23" customHeight="1">
      <x:c r="A1036" s="2" t="str">
        <x:v>Exports</x:v>
      </x:c>
      <x:c r="B1036" s="2" t="n">
        <x:v>299</x:v>
      </x:c>
      <x:c r="C1036" s="2" t="str">
        <x:v>     </x:v>
      </x:c>
      <x:c r="D1036" s="2"/>
      <x:c r="E1036" s="8"/>
      <x:c r="F1036" s="8"/>
    </x:row>
    <x:row r="1037" ht="23" customHeight="1">
      <x:c r="A1037" s="2" t="str">
        <x:v>Exports</x:v>
      </x:c>
      <x:c r="B1037" s="2" t="n">
        <x:v>300</x:v>
      </x:c>
      <x:c r="C1037" s="2" t="str">
        <x:v>     </x:v>
      </x:c>
      <x:c r="D1037" s="2"/>
      <x:c r="E1037" s="8"/>
      <x:c r="F1037" s="8"/>
    </x:row>
    <x:row r="1038" ht="23" customHeight="1">
      <x:c r="A1038" s="2" t="str">
        <x:v>Exports</x:v>
      </x:c>
      <x:c r="B1038" s="2" t="n">
        <x:v>301</x:v>
      </x:c>
      <x:c r="C1038" s="2" t="str">
        <x:v>125. INSTRUMENTS, NAUTICAL and SCIENTIFIC ----     </x:v>
      </x:c>
      <x:c r="D1038" s="2" t="str">
        <x:v>"</x:v>
      </x:c>
      <x:c r="E1038" s="8" t="n">
        <x:v>52</x:v>
      </x:c>
      <x:c r="F1038" s="8" t="n">
        <x:v>11648</x:v>
      </x:c>
    </x:row>
    <x:row r="1039" ht="23" customHeight="1">
      <x:c r="A1039" s="2" t="str">
        <x:v>Exports</x:v>
      </x:c>
      <x:c r="B1039" s="2" t="n">
        <x:v>302</x:v>
      </x:c>
      <x:c r="C1039" s="2" t="str">
        <x:v>     </x:v>
      </x:c>
      <x:c r="D1039" s="2"/>
      <x:c r="E1039" s="8"/>
      <x:c r="F1039" s="8"/>
    </x:row>
    <x:row r="1040" ht="23" customHeight="1">
      <x:c r="A1040" s="2" t="str">
        <x:v>Exports</x:v>
      </x:c>
      <x:c r="B1040" s="2" t="n">
        <x:v>303</x:v>
      </x:c>
      <x:c r="C1040" s="2" t="str">
        <x:v>     </x:v>
      </x:c>
      <x:c r="D1040" s="2"/>
      <x:c r="E1040" s="8"/>
      <x:c r="F1040" s="8"/>
    </x:row>
    <x:row r="1041" ht="23" customHeight="1">
      <x:c r="A1041" s="2" t="str">
        <x:v>Exports</x:v>
      </x:c>
      <x:c r="B1041" s="2" t="n">
        <x:v>304</x:v>
      </x:c>
      <x:c r="C1041" s="2" t="str">
        <x:v>     </x:v>
      </x:c>
      <x:c r="D1041" s="2"/>
      <x:c r="E1041" s="8"/>
      <x:c r="F1041" s="8"/>
    </x:row>
    <x:row r="1042" ht="23" customHeight="1">
      <x:c r="A1042" s="2" t="str">
        <x:v>Exports</x:v>
      </x:c>
      <x:c r="B1042" s="2" t="n">
        <x:v>305</x:v>
      </x:c>
      <x:c r="C1042" s="2" t="str">
        <x:v>126. LIME ----     </x:v>
      </x:c>
      <x:c r="D1042" s="2" t="str">
        <x:v>"</x:v>
      </x:c>
      <x:c r="E1042" s="8" t="n">
        <x:v>1338</x:v>
      </x:c>
      <x:c r="F1042" s="8" t="n">
        <x:v>56</x:v>
      </x:c>
    </x:row>
    <x:row r="1043" ht="23" customHeight="1">
      <x:c r="A1043" s="2" t="str">
        <x:v>Exports</x:v>
      </x:c>
      <x:c r="B1043" s="2" t="n">
        <x:v>306</x:v>
      </x:c>
      <x:c r="C1043" s="2" t="str">
        <x:v>     </x:v>
      </x:c>
      <x:c r="D1043" s="2"/>
      <x:c r="E1043" s="8"/>
      <x:c r="F1043" s="8"/>
    </x:row>
    <x:row r="1044" ht="23" customHeight="1">
      <x:c r="A1044" s="2" t="str">
        <x:v>Exports</x:v>
      </x:c>
      <x:c r="B1044" s="2" t="n">
        <x:v>307</x:v>
      </x:c>
      <x:c r="C1044" s="2" t="str">
        <x:v>     </x:v>
      </x:c>
      <x:c r="D1044" s="2"/>
      <x:c r="E1044" s="8"/>
      <x:c r="F1044" s="8"/>
    </x:row>
    <x:row r="1045" ht="23" customHeight="1">
      <x:c r="A1045" s="2" t="str">
        <x:v>Exports</x:v>
      </x:c>
      <x:c r="B1045" s="2" t="n">
        <x:v>308</x:v>
      </x:c>
      <x:c r="C1045" s="2" t="str">
        <x:v>     </x:v>
      </x:c>
      <x:c r="D1045" s="2"/>
      <x:c r="E1045" s="8"/>
      <x:c r="F1045" s="8"/>
    </x:row>
    <x:row r="1046" ht="23" customHeight="1">
      <x:c r="A1046" s="2" t="str">
        <x:v>Exports</x:v>
      </x:c>
      <x:c r="B1046" s="2" t="n">
        <x:v>309</x:v>
      </x:c>
      <x:c r="C1046" s="2" t="str">
        <x:v>127. MACHINERY ----     </x:v>
      </x:c>
      <x:c r="D1046" s="2" t="str">
        <x:v>tons.</x:v>
      </x:c>
      <x:c r="E1046" s="8" t="n">
        <x:v>9196</x:v>
      </x:c>
      <x:c r="F1046" s="8" t="n">
        <x:v>459800</x:v>
      </x:c>
    </x:row>
    <x:row r="1047" ht="23" customHeight="1">
      <x:c r="A1047" s="2" t="str">
        <x:v>Exports</x:v>
      </x:c>
      <x:c r="B1047" s="2" t="n">
        <x:v>310</x:v>
      </x:c>
      <x:c r="C1047" s="2" t="str">
        <x:v>     </x:v>
      </x:c>
      <x:c r="D1047" s="2"/>
      <x:c r="E1047" s="8"/>
      <x:c r="F1047" s="8"/>
    </x:row>
    <x:row r="1048" ht="23" customHeight="1">
      <x:c r="A1048" s="2" t="str">
        <x:v>Exports</x:v>
      </x:c>
      <x:c r="B1048" s="2" t="n">
        <x:v>311</x:v>
      </x:c>
      <x:c r="C1048" s="2" t="str">
        <x:v>     </x:v>
      </x:c>
      <x:c r="D1048" s="2"/>
      <x:c r="E1048" s="8"/>
      <x:c r="F1048" s="8"/>
    </x:row>
    <x:row r="1049" ht="23" customHeight="1">
      <x:c r="A1049" s="2" t="str">
        <x:v>Exports</x:v>
      </x:c>
      <x:c r="B1049" s="2" t="n">
        <x:v>312</x:v>
      </x:c>
      <x:c r="C1049" s="2" t="str">
        <x:v>     </x:v>
      </x:c>
      <x:c r="D1049" s="2"/>
      <x:c r="E1049" s="8"/>
      <x:c r="F1049" s="8"/>
    </x:row>
    <x:row r="1050" ht="23" customHeight="1">
      <x:c r="A1050" s="2" t="str">
        <x:v>Exports</x:v>
      </x:c>
      <x:c r="B1050" s="2" t="n">
        <x:v>313</x:v>
      </x:c>
      <x:c r="C1050" s="2" t="str">
        <x:v>128. MATCHES ----     </x:v>
      </x:c>
      <x:c r="D1050" s="2" t="str">
        <x:v>cwts.</x:v>
      </x:c>
      <x:c r="E1050" s="8" t="n">
        <x:v>397</x:v>
      </x:c>
      <x:c r="F1050" s="8" t="n">
        <x:v>893</x:v>
      </x:c>
    </x:row>
    <x:row r="1051" ht="23" customHeight="1">
      <x:c r="A1051" s="2" t="str">
        <x:v>Exports</x:v>
      </x:c>
      <x:c r="B1051" s="2" t="n">
        <x:v>314</x:v>
      </x:c>
      <x:c r="C1051" s="2" t="str">
        <x:v>     </x:v>
      </x:c>
      <x:c r="D1051" s="2"/>
      <x:c r="E1051" s="8"/>
      <x:c r="F1051" s="8"/>
    </x:row>
    <x:row r="1052" ht="23" customHeight="1">
      <x:c r="A1052" s="2" t="str">
        <x:v>Exports</x:v>
      </x:c>
      <x:c r="B1052" s="2" t="n">
        <x:v>315</x:v>
      </x:c>
      <x:c r="C1052" s="2" t="str">
        <x:v>     </x:v>
      </x:c>
      <x:c r="D1052" s="2"/>
      <x:c r="E1052" s="8"/>
      <x:c r="F1052" s="8"/>
    </x:row>
    <x:row r="1053" ht="23" customHeight="1">
      <x:c r="A1053" s="2" t="str">
        <x:v>Exports</x:v>
      </x:c>
      <x:c r="B1053" s="2" t="n">
        <x:v>316</x:v>
      </x:c>
      <x:c r="C1053" s="2" t="str">
        <x:v>     </x:v>
      </x:c>
      <x:c r="D1053" s="2"/>
      <x:c r="E1053" s="8"/>
      <x:c r="F1053" s="8"/>
    </x:row>
    <x:row r="1054" ht="23" customHeight="1">
      <x:c r="A1054" s="2" t="str">
        <x:v>Exports</x:v>
      </x:c>
      <x:c r="B1054" s="2" t="n">
        <x:v>317</x:v>
      </x:c>
      <x:c r="C1054" s="2" t="str">
        <x:v>129.MEAT,POULTRY and GAME -     </x:v>
      </x:c>
      <x:c r="D1054" s="2"/>
      <x:c r="E1054" s="8"/>
      <x:c r="F1054" s="8"/>
    </x:row>
    <x:row r="1055" ht="23" customHeight="1">
      <x:c r="A1055" s="2" t="str">
        <x:v>Exports</x:v>
      </x:c>
      <x:c r="B1055" s="2" t="n">
        <x:v>318</x:v>
      </x:c>
      <x:c r="C1055" s="2" t="str">
        <x:v>Beef ----     </x:v>
      </x:c>
      <x:c r="D1055" s="2" t="str">
        <x:v>"</x:v>
      </x:c>
      <x:c r="E1055" s="8" t="n">
        <x:v>6047</x:v>
      </x:c>
      <x:c r="F1055" s="8" t="n">
        <x:v>16326</x:v>
      </x:c>
    </x:row>
    <x:row r="1056" ht="23" customHeight="1">
      <x:c r="A1056" s="2" t="str">
        <x:v>Exports</x:v>
      </x:c>
      <x:c r="B1056" s="2" t="n">
        <x:v>319</x:v>
      </x:c>
      <x:c r="C1056" s="2" t="str">
        <x:v>Pork ----     </x:v>
      </x:c>
      <x:c r="D1056" s="2" t="str">
        <x:v>"</x:v>
      </x:c>
      <x:c r="E1056" s="8" t="n">
        <x:v>41414</x:v>
      </x:c>
      <x:c r="F1056" s="8" t="n">
        <x:v>97323</x:v>
      </x:c>
    </x:row>
    <x:row r="1057" ht="23" customHeight="1">
      <x:c r="A1057" s="2" t="str">
        <x:v>Exports</x:v>
      </x:c>
      <x:c r="B1057" s="2" t="n">
        <x:v>320</x:v>
      </x:c>
      <x:c r="C1057" s="2" t="str">
        <x:v>Bacon ----     </x:v>
      </x:c>
      <x:c r="D1057" s="2" t="str">
        <x:v>"</x:v>
      </x:c>
      <x:c r="E1057" s="8" t="n">
        <x:v>984980</x:v>
      </x:c>
      <x:c r="F1057" s="8" t="n">
        <x:v>1712450</x:v>
      </x:c>
    </x:row>
    <x:row r="1058" ht="23" customHeight="1">
      <x:c r="A1058" s="2" t="str">
        <x:v>Exports</x:v>
      </x:c>
      <x:c r="B1058" s="2" t="n">
        <x:v>321</x:v>
      </x:c>
      <x:c r="C1058" s="2" t="str">
        <x:v>Hams ----     </x:v>
      </x:c>
      <x:c r="D1058" s="2" t="str">
        <x:v>"</x:v>
      </x:c>
      <x:c r="E1058" s="8" t="n">
        <x:v>119587</x:v>
      </x:c>
      <x:c r="F1058" s="8" t="n">
        <x:v>478348</x:v>
      </x:c>
    </x:row>
    <x:row r="1059" ht="23" customHeight="1">
      <x:c r="A1059" s="2" t="str">
        <x:v>Exports</x:v>
      </x:c>
      <x:c r="B1059" s="2" t="n">
        <x:v>322</x:v>
      </x:c>
      <x:c r="C1059" s="2" t="str">
        <x:v>Tripe ----     </x:v>
      </x:c>
      <x:c r="D1059" s="2" t="str">
        <x:v>"</x:v>
      </x:c>
      <x:c r="E1059" s="8" t="n">
        <x:v>5179</x:v>
      </x:c>
      <x:c r="F1059" s="8" t="n">
        <x:v>3884</x:v>
      </x:c>
    </x:row>
    <x:row r="1060" ht="23" customHeight="1">
      <x:c r="A1060" s="2" t="str">
        <x:v>Exports</x:v>
      </x:c>
      <x:c r="B1060" s="2" t="n">
        <x:v>323</x:v>
      </x:c>
      <x:c r="C1060" s="2" t="str">
        <x:v>Meat, Preserved and Canned ----     </x:v>
      </x:c>
      <x:c r="D1060" s="2" t="str">
        <x:v>"</x:v>
      </x:c>
      <x:c r="E1060" s="8" t="n">
        <x:v>4390</x:v>
      </x:c>
      <x:c r="F1060" s="8" t="n">
        <x:v>10975</x:v>
      </x:c>
    </x:row>
    <x:row r="1061" ht="23" customHeight="1">
      <x:c r="A1061" s="2" t="str">
        <x:v>Exports</x:v>
      </x:c>
      <x:c r="B1061" s="2" t="n">
        <x:v>324</x:v>
      </x:c>
      <x:c r="C1061" s="2" t="str">
        <x:v>Meat, Coarse ----     </x:v>
      </x:c>
      <x:c r="D1061" s="2" t="str">
        <x:v>"</x:v>
      </x:c>
      <x:c r="E1061" s="8" t="n">
        <x:v>105699</x:v>
      </x:c>
      <x:c r="F1061" s="8" t="n">
        <x:v>26425</x:v>
      </x:c>
    </x:row>
    <x:row r="1062" ht="23" customHeight="1">
      <x:c r="A1062" s="2" t="str">
        <x:v>Exports</x:v>
      </x:c>
      <x:c r="B1062" s="2" t="n">
        <x:v>325</x:v>
      </x:c>
      <x:c r="C1062" s="2" t="str">
        <x:v>Poultry ----     </x:v>
      </x:c>
      <x:c r="D1062" s="2" t="str">
        <x:v>"</x:v>
      </x:c>
      <x:c r="E1062" s="8" t="n">
        <x:v>230485</x:v>
      </x:c>
      <x:c r="F1062" s="8" t="n">
        <x:v>645358</x:v>
      </x:c>
    </x:row>
    <x:row r="1063" ht="23" customHeight="1">
      <x:c r="A1063" s="2" t="str">
        <x:v>Exports</x:v>
      </x:c>
      <x:c r="B1063" s="2" t="n">
        <x:v>326</x:v>
      </x:c>
      <x:c r="C1063" s="2" t="str">
        <x:v>Rabbits ----     </x:v>
      </x:c>
      <x:c r="D1063" s="2" t="str">
        <x:v>"</x:v>
      </x:c>
      <x:c r="E1063" s="8" t="n">
        <x:v>51293</x:v>
      </x:c>
      <x:c r="F1063" s="8" t="n">
        <x:v>64116</x:v>
      </x:c>
    </x:row>
    <x:row r="1064" ht="23" customHeight="1">
      <x:c r="A1064" s="2" t="str">
        <x:v>Exports</x:v>
      </x:c>
      <x:c r="B1064" s="2" t="n">
        <x:v>327</x:v>
      </x:c>
      <x:c r="C1064" s="2" t="str">
        <x:v>Game ----     </x:v>
      </x:c>
      <x:c r="D1064" s="2" t="str">
        <x:v>"</x:v>
      </x:c>
      <x:c r="E1064" s="8" t="n">
        <x:v>1581</x:v>
      </x:c>
      <x:c r="F1064" s="8" t="n">
        <x:v>6324</x:v>
      </x:c>
    </x:row>
    <x:row r="1065" ht="23" customHeight="1">
      <x:c r="A1065" s="2" t="str">
        <x:v>Exports</x:v>
      </x:c>
      <x:c r="B1065" s="2" t="n">
        <x:v>328</x:v>
      </x:c>
      <x:c r="C1065" s="2" t="str">
        <x:v>Provisions and Groceries ----     </x:v>
      </x:c>
      <x:c r="D1065" s="2" t="str">
        <x:v>"</x:v>
      </x:c>
      <x:c r="E1065" s="8" t="n">
        <x:v>193209</x:v>
      </x:c>
      <x:c r="F1065" s="8" t="n">
        <x:v>483023</x:v>
      </x:c>
    </x:row>
    <x:row r="1066" ht="23" customHeight="1">
      <x:c r="A1066" s="2" t="str">
        <x:v>Exports</x:v>
      </x:c>
      <x:c r="B1066" s="2" t="n">
        <x:v>329</x:v>
      </x:c>
      <x:c r="C1066" s="2" t="str">
        <x:v>     </x:v>
      </x:c>
      <x:c r="D1066" s="2"/>
      <x:c r="E1066" s="8"/>
      <x:c r="F1066" s="8"/>
    </x:row>
    <x:row r="1067" ht="23" customHeight="1">
      <x:c r="A1067" s="2" t="str">
        <x:v>Exports</x:v>
      </x:c>
      <x:c r="B1067" s="2" t="n">
        <x:v>330</x:v>
      </x:c>
      <x:c r="C1067" s="2" t="str">
        <x:v>     </x:v>
      </x:c>
      <x:c r="D1067" s="2"/>
      <x:c r="E1067" s="8"/>
      <x:c r="F1067" s="8"/>
    </x:row>
    <x:row r="1068" ht="23" customHeight="1">
      <x:c r="A1068" s="2" t="str">
        <x:v>Exports</x:v>
      </x:c>
      <x:c r="B1068" s="2" t="n">
        <x:v>331</x:v>
      </x:c>
      <x:c r="C1068" s="2" t="str">
        <x:v>     </x:v>
      </x:c>
      <x:c r="D1068" s="2"/>
      <x:c r="E1068" s="8"/>
      <x:c r="F1068" s="8"/>
    </x:row>
    <x:row r="1069" ht="23" customHeight="1">
      <x:c r="A1069" s="2" t="str">
        <x:v>Exports</x:v>
      </x:c>
      <x:c r="B1069" s="2" t="n">
        <x:v>332</x:v>
      </x:c>
      <x:c r="C1069" s="2" t="str">
        <x:v>130. METALS and MANUFACTURES THEREOF -     </x:v>
      </x:c>
      <x:c r="D1069" s="2"/>
      <x:c r="E1069" s="8"/>
      <x:c r="F1069" s="8"/>
    </x:row>
    <x:row r="1070" ht="23" customHeight="1">
      <x:c r="A1070" s="2" t="str">
        <x:v>Exports</x:v>
      </x:c>
      <x:c r="B1070" s="2" t="n">
        <x:v>333</x:v>
      </x:c>
      <x:c r="C1070" s="2" t="str">
        <x:v>Brass and Bronze ----     </x:v>
      </x:c>
      <x:c r="D1070" s="2" t="str">
        <x:v>tons.</x:v>
      </x:c>
      <x:c r="E1070" s="8" t="n">
        <x:v>272</x:v>
      </x:c>
      <x:c r="F1070" s="8" t="n">
        <x:v>17680</x:v>
      </x:c>
    </x:row>
    <x:row r="1071" ht="23" customHeight="1">
      <x:c r="A1071" s="2" t="str">
        <x:v>Exports</x:v>
      </x:c>
      <x:c r="B1071" s="2" t="n">
        <x:v>334</x:v>
      </x:c>
      <x:c r="C1071" s="2" t="str">
        <x:v>Copper Bars, Blocks, &amp;c.(unwrought) ----     </x:v>
      </x:c>
      <x:c r="D1071" s="2" t="str">
        <x:v>"</x:v>
      </x:c>
      <x:c r="E1071" s="8" t="n">
        <x:v>234</x:v>
      </x:c>
      <x:c r="F1071" s="8" t="n">
        <x:v>15912</x:v>
      </x:c>
    </x:row>
    <x:row r="1072" ht="23" customHeight="1">
      <x:c r="A1072" s="2" t="str">
        <x:v>Exports</x:v>
      </x:c>
      <x:c r="B1072" s="2" t="n">
        <x:v>335</x:v>
      </x:c>
      <x:c r="C1072" s="2" t="str">
        <x:v>Yellow Metal ----     </x:v>
      </x:c>
      <x:c r="D1072" s="2" t="str">
        <x:v>"</x:v>
      </x:c>
      <x:c r="E1072" s="8" t="n">
        <x:v>14</x:v>
      </x:c>
      <x:c r="F1072" s="8" t="n">
        <x:v>700</x:v>
      </x:c>
    </x:row>
    <x:row r="1073" ht="23" customHeight="1">
      <x:c r="A1073" s="2" t="str">
        <x:v>Exports</x:v>
      </x:c>
      <x:c r="B1073" s="2" t="n">
        <x:v>336</x:v>
      </x:c>
      <x:c r="C1073" s="2" t="str">
        <x:v>Iron and Manufactures thereof ----     </x:v>
      </x:c>
      <x:c r="D1073" s="2" t="str">
        <x:v>"</x:v>
      </x:c>
      <x:c r="E1073" s="8" t="n">
        <x:v>2876</x:v>
      </x:c>
      <x:c r="F1073" s="8" t="n">
        <x:v>57520</x:v>
      </x:c>
    </x:row>
    <x:row r="1074" ht="23" customHeight="1">
      <x:c r="A1074" s="2" t="str">
        <x:v>Exports</x:v>
      </x:c>
      <x:c r="B1074" s="2" t="n">
        <x:v>337</x:v>
      </x:c>
      <x:c r="C1074" s="2" t="str">
        <x:v>Iron, Scrap ----     </x:v>
      </x:c>
      <x:c r="D1074" s="2" t="str">
        <x:v>"</x:v>
      </x:c>
      <x:c r="E1074" s="8" t="n">
        <x:v>30796</x:v>
      </x:c>
      <x:c r="F1074" s="8" t="n">
        <x:v>53893</x:v>
      </x:c>
    </x:row>
    <x:row r="1075" ht="23" customHeight="1">
      <x:c r="A1075" s="2" t="str">
        <x:v>Exports</x:v>
      </x:c>
      <x:c r="B1075" s="2" t="n">
        <x:v>338</x:v>
      </x:c>
      <x:c r="C1075" s="2" t="str">
        <x:v>Steel ----     </x:v>
      </x:c>
      <x:c r="D1075" s="2" t="str">
        <x:v>"</x:v>
      </x:c>
      <x:c r="E1075" s="8" t="n">
        <x:v>181</x:v>
      </x:c>
      <x:c r="F1075" s="8" t="n">
        <x:v>2806</x:v>
      </x:c>
    </x:row>
    <x:row r="1076" ht="23" customHeight="1">
      <x:c r="A1076" s="2" t="str">
        <x:v>Exports</x:v>
      </x:c>
      <x:c r="B1076" s="2" t="n">
        <x:v>339</x:v>
      </x:c>
      <x:c r="C1076" s="2" t="str">
        <x:v>Forks,Rakes,Spades and Scythes ----     </x:v>
      </x:c>
      <x:c r="D1076" s="2" t="str">
        <x:v>cwts.</x:v>
      </x:c>
      <x:c r="E1076" s="8" t="n">
        <x:v>1094</x:v>
      </x:c>
      <x:c r="F1076" s="8" t="n">
        <x:v>1504</x:v>
      </x:c>
    </x:row>
    <x:row r="1077" ht="23" customHeight="1">
      <x:c r="A1077" s="2" t="str">
        <x:v>Exports</x:v>
      </x:c>
      <x:c r="B1077" s="2" t="n">
        <x:v>340</x:v>
      </x:c>
      <x:c r="C1077" s="2" t="str">
        <x:v>Anchors and Chains ----     </x:v>
      </x:c>
      <x:c r="D1077" s="2" t="str">
        <x:v>tons.</x:v>
      </x:c>
      <x:c r="E1077" s="8" t="n">
        <x:v>31</x:v>
      </x:c>
      <x:c r="F1077" s="8" t="n">
        <x:v>620</x:v>
      </x:c>
    </x:row>
    <x:row r="1078" ht="23" customHeight="1">
      <x:c r="A1078" s="2" t="str">
        <x:v>Exports</x:v>
      </x:c>
      <x:c r="B1078" s="2" t="n">
        <x:v>341</x:v>
      </x:c>
      <x:c r="C1078" s="2" t="str">
        <x:v>Anvils and Vices ---     </x:v>
      </x:c>
      <x:c r="D1078" s="2" t="str">
        <x:v>cwts.</x:v>
      </x:c>
      <x:c r="E1078" s="8" t="n">
        <x:v>113</x:v>
      </x:c>
      <x:c r="F1078" s="8" t="n">
        <x:v>141</x:v>
      </x:c>
    </x:row>
    <x:row r="1079" ht="23" customHeight="1">
      <x:c r="A1079" s="2" t="str">
        <x:v>Exports</x:v>
      </x:c>
      <x:c r="B1079" s="2" t="n">
        <x:v>342</x:v>
      </x:c>
      <x:c r="C1079" s="2" t="str">
        <x:v>Bolts,Rivets and Nuts ----     </x:v>
      </x:c>
      <x:c r="D1079" s="2" t="str">
        <x:v>tons.</x:v>
      </x:c>
      <x:c r="E1079" s="8" t="n">
        <x:v>51</x:v>
      </x:c>
      <x:c r="F1079" s="8" t="n">
        <x:v>587</x:v>
      </x:c>
    </x:row>
    <x:row r="1080" ht="23" customHeight="1">
      <x:c r="A1080" s="2" t="str">
        <x:v>Exports</x:v>
      </x:c>
      <x:c r="B1080" s="2" t="n">
        <x:v>343</x:v>
      </x:c>
      <x:c r="C1080" s="2" t="str">
        <x:v>Meters ----     </x:v>
      </x:c>
      <x:c r="D1080" s="2" t="str">
        <x:v>"</x:v>
      </x:c>
      <x:c r="E1080" s="8" t="n">
        <x:v>69</x:v>
      </x:c>
      <x:c r="F1080" s="8" t="n">
        <x:v>12420</x:v>
      </x:c>
    </x:row>
    <x:row r="1081" ht="23" customHeight="1">
      <x:c r="A1081" s="2" t="str">
        <x:v>Exports</x:v>
      </x:c>
      <x:c r="B1081" s="2" t="n">
        <x:v>344</x:v>
      </x:c>
      <x:c r="C1081" s="2" t="str">
        <x:v>Nails and Screws ----     </x:v>
      </x:c>
      <x:c r="D1081" s="2" t="str">
        <x:v>"</x:v>
      </x:c>
      <x:c r="E1081" s="8" t="n">
        <x:v>60</x:v>
      </x:c>
      <x:c r="F1081" s="8" t="n">
        <x:v>570</x:v>
      </x:c>
    </x:row>
    <x:row r="1082" ht="23" customHeight="1">
      <x:c r="A1082" s="2" t="str">
        <x:v>Exports</x:v>
      </x:c>
      <x:c r="B1082" s="2" t="n">
        <x:v>345</x:v>
      </x:c>
      <x:c r="C1082" s="2" t="str">
        <x:v>Pots, Pans, &amp;c. ----     </x:v>
      </x:c>
      <x:c r="D1082" s="2" t="str">
        <x:v>cwts.</x:v>
      </x:c>
      <x:c r="E1082" s="8" t="n">
        <x:v>15380</x:v>
      </x:c>
      <x:c r="F1082" s="8" t="n">
        <x:v>9613</x:v>
      </x:c>
    </x:row>
    <x:row r="1083" ht="23" customHeight="1">
      <x:c r="A1083" s="2" t="str">
        <x:v>Exports</x:v>
      </x:c>
      <x:c r="B1083" s="2" t="n">
        <x:v>346</x:v>
      </x:c>
      <x:c r="C1083" s="2" t="str">
        <x:v>Pumps ---     </x:v>
      </x:c>
      <x:c r="D1083" s="2" t="str">
        <x:v>"</x:v>
      </x:c>
      <x:c r="E1083" s="8" t="n">
        <x:v>109</x:v>
      </x:c>
      <x:c r="F1083" s="8" t="n">
        <x:v>382</x:v>
      </x:c>
    </x:row>
    <x:row r="1084" ht="23" customHeight="1">
      <x:c r="A1084" s="2" t="str">
        <x:v>Exports</x:v>
      </x:c>
      <x:c r="B1084" s="2" t="n">
        <x:v>347</x:v>
      </x:c>
      <x:c r="C1084" s="2" t="str">
        <x:v>Railway Plant ----     </x:v>
      </x:c>
      <x:c r="D1084" s="2" t="str">
        <x:v>tons.</x:v>
      </x:c>
      <x:c r="E1084" s="8" t="n">
        <x:v>157</x:v>
      </x:c>
      <x:c r="F1084" s="8" t="n">
        <x:v>1178</x:v>
      </x:c>
    </x:row>
    <x:row r="1085" ht="23" customHeight="1">
      <x:c r="A1085" s="2" t="str">
        <x:v>Exports</x:v>
      </x:c>
      <x:c r="B1085" s="2" t="n">
        <x:v>348</x:v>
      </x:c>
      <x:c r="C1085" s="2" t="str">
        <x:v>Ranges, Stoves and Ovens ----     </x:v>
      </x:c>
      <x:c r="D1085" s="2" t="str">
        <x:v>cwts.</x:v>
      </x:c>
      <x:c r="E1085" s="8" t="n">
        <x:v>9381</x:v>
      </x:c>
      <x:c r="F1085" s="8" t="n">
        <x:v>10554</x:v>
      </x:c>
    </x:row>
    <x:row r="1086" ht="23" customHeight="1">
      <x:c r="A1086" s="2" t="str">
        <x:v>Exports</x:v>
      </x:c>
      <x:c r="B1086" s="2" t="n">
        <x:v>349</x:v>
      </x:c>
      <x:c r="C1086" s="2" t="str">
        <x:v>Safes ----     </x:v>
      </x:c>
      <x:c r="D1086" s="2" t="str">
        <x:v>tons.</x:v>
      </x:c>
      <x:c r="E1086" s="8" t="n">
        <x:v>12</x:v>
      </x:c>
      <x:c r="F1086" s="8" t="n">
        <x:v>360</x:v>
      </x:c>
    </x:row>
    <x:row r="1087" ht="23" customHeight="1">
      <x:c r="A1087" s="2" t="str">
        <x:v>Exports</x:v>
      </x:c>
      <x:c r="B1087" s="2" t="n">
        <x:v>350</x:v>
      </x:c>
      <x:c r="C1087" s="2" t="str">
        <x:v>Wire and Wire Netting ----     </x:v>
      </x:c>
      <x:c r="D1087" s="2" t="str">
        <x:v>"</x:v>
      </x:c>
      <x:c r="E1087" s="8" t="n">
        <x:v>84</x:v>
      </x:c>
      <x:c r="F1087" s="8" t="n">
        <x:v>714</x:v>
      </x:c>
    </x:row>
    <x:row r="1088" ht="23" customHeight="1">
      <x:c r="A1088" s="2" t="str">
        <x:v>Exports</x:v>
      </x:c>
      <x:c r="B1088" s="2" t="n">
        <x:v>351</x:v>
      </x:c>
      <x:c r="C1088" s="2" t="str">
        <x:v>Lead ----     </x:v>
      </x:c>
      <x:c r="D1088" s="2" t="str">
        <x:v>"</x:v>
      </x:c>
      <x:c r="E1088" s="8" t="n">
        <x:v>787</x:v>
      </x:c>
      <x:c r="F1088" s="8" t="n">
        <x:v>10428</x:v>
      </x:c>
    </x:row>
    <x:row r="1089" ht="23" customHeight="1">
      <x:c r="A1089" s="2" t="str">
        <x:v>Exports</x:v>
      </x:c>
      <x:c r="B1089" s="2" t="n">
        <x:v>352</x:v>
      </x:c>
      <x:c r="C1089" s="2" t="str">
        <x:v>Piping,&amp;c. ----     </x:v>
      </x:c>
      <x:c r="D1089" s="2" t="str">
        <x:v>cwts.</x:v>
      </x:c>
      <x:c r="E1089" s="8" t="n">
        <x:v>4646</x:v>
      </x:c>
      <x:c r="F1089" s="8" t="n">
        <x:v>1394</x:v>
      </x:c>
    </x:row>
    <x:row r="1090" ht="23" customHeight="1">
      <x:c r="A1090" s="2" t="str">
        <x:v>Exports</x:v>
      </x:c>
      <x:c r="B1090" s="2" t="n">
        <x:v>353</x:v>
      </x:c>
      <x:c r="C1090" s="2" t="str">
        <x:v>Type ----     </x:v>
      </x:c>
      <x:c r="D1090" s="2" t="str">
        <x:v>tons.</x:v>
      </x:c>
      <x:c r="E1090" s="8" t="n">
        <x:v>5</x:v>
      </x:c>
      <x:c r="F1090" s="8" t="n">
        <x:v>625</x:v>
      </x:c>
    </x:row>
    <x:row r="1091" ht="23" customHeight="1">
      <x:c r="A1091" s="2" t="str">
        <x:v>Exports</x:v>
      </x:c>
      <x:c r="B1091" s="2" t="n">
        <x:v>354</x:v>
      </x:c>
      <x:c r="C1091" s="2" t="str">
        <x:v>Silver ----     </x:v>
      </x:c>
      <x:c r="D1091" s="2" t="str">
        <x:v>Troy ozs.</x:v>
      </x:c>
      <x:c r="E1091" s="8" t="n">
        <x:v>26134</x:v>
      </x:c>
      <x:c r="F1091" s="8" t="n">
        <x:v>3593</x:v>
      </x:c>
    </x:row>
    <x:row r="1092" ht="23" customHeight="1">
      <x:c r="A1092" s="2" t="str">
        <x:v>Exports</x:v>
      </x:c>
      <x:c r="B1092" s="2" t="n">
        <x:v>355</x:v>
      </x:c>
      <x:c r="C1092" s="2" t="str">
        <x:v>Electro-Plated Ware ---     </x:v>
      </x:c>
      <x:c r="D1092" s="2" t="str">
        <x:v>cwts.</x:v>
      </x:c>
      <x:c r="E1092" s="8" t="n">
        <x:v>583</x:v>
      </x:c>
      <x:c r="F1092" s="8" t="n">
        <x:v>9794</x:v>
      </x:c>
    </x:row>
    <x:row r="1093" ht="23" customHeight="1">
      <x:c r="A1093" s="2" t="str">
        <x:v>Exports</x:v>
      </x:c>
      <x:c r="B1093" s="2" t="n">
        <x:v>356</x:v>
      </x:c>
      <x:c r="C1093" s="2" t="str">
        <x:v>Tin ----     </x:v>
      </x:c>
      <x:c r="D1093" s="2" t="str">
        <x:v>tons.</x:v>
      </x:c>
      <x:c r="E1093" s="8" t="n">
        <x:v>91</x:v>
      </x:c>
      <x:c r="F1093" s="8" t="n">
        <x:v>1820</x:v>
      </x:c>
    </x:row>
    <x:row r="1094" ht="23" customHeight="1">
      <x:c r="A1094" s="2" t="str">
        <x:v>Exports</x:v>
      </x:c>
      <x:c r="B1094" s="2" t="n">
        <x:v>357</x:v>
      </x:c>
      <x:c r="C1094" s="2" t="str">
        <x:v>Trunks ----     </x:v>
      </x:c>
      <x:c r="D1094" s="2" t="str">
        <x:v>cwts.</x:v>
      </x:c>
      <x:c r="E1094" s="8" t="n">
        <x:v>1860</x:v>
      </x:c>
      <x:c r="F1094" s="8" t="n">
        <x:v>2790</x:v>
      </x:c>
    </x:row>
    <x:row r="1095" ht="23" customHeight="1">
      <x:c r="A1095" s="2" t="str">
        <x:v>Exports</x:v>
      </x:c>
      <x:c r="B1095" s="2" t="n">
        <x:v>358</x:v>
      </x:c>
      <x:c r="C1095" s="2" t="str">
        <x:v>Zinc ----     </x:v>
      </x:c>
      <x:c r="D1095" s="2" t="str">
        <x:v>tons.</x:v>
      </x:c>
      <x:c r="E1095" s="8" t="n">
        <x:v>82</x:v>
      </x:c>
      <x:c r="F1095" s="8" t="n">
        <x:v>2132</x:v>
      </x:c>
    </x:row>
    <x:row r="1096" ht="23" customHeight="1">
      <x:c r="A1096" s="2" t="str">
        <x:v>Exports</x:v>
      </x:c>
      <x:c r="B1096" s="2" t="n">
        <x:v>359</x:v>
      </x:c>
      <x:c r="C1096" s="2" t="str">
        <x:v>Hardware, Miscellaneous ----     </x:v>
      </x:c>
      <x:c r="D1096" s="2" t="str">
        <x:v>cwts.</x:v>
      </x:c>
      <x:c r="E1096" s="8" t="n">
        <x:v>27359</x:v>
      </x:c>
      <x:c r="F1096" s="8" t="n">
        <x:v>54718</x:v>
      </x:c>
    </x:row>
    <x:row r="1097" ht="23" customHeight="1">
      <x:c r="A1097" s="2" t="str">
        <x:v>Exports</x:v>
      </x:c>
      <x:c r="B1097" s="2" t="n">
        <x:v>360</x:v>
      </x:c>
      <x:c r="C1097" s="2" t="str">
        <x:v>Electric Cables ----     </x:v>
      </x:c>
      <x:c r="D1097" s="2" t="str">
        <x:v>"</x:v>
      </x:c>
      <x:c r="E1097" s="8" t="str">
        <x:v>-</x:v>
      </x:c>
      <x:c r="F1097" s="8" t="str">
        <x:v>-</x:v>
      </x:c>
    </x:row>
    <x:row r="1098" ht="23" customHeight="1">
      <x:c r="A1098" s="2" t="str">
        <x:v>Exports</x:v>
      </x:c>
      <x:c r="B1098" s="2" t="n">
        <x:v>361</x:v>
      </x:c>
      <x:c r="C1098" s="2" t="str">
        <x:v>Metal Ashes - unclassified ----     </x:v>
      </x:c>
      <x:c r="D1098" s="2" t="str">
        <x:v>tons.</x:v>
      </x:c>
      <x:c r="E1098" s="8" t="n">
        <x:v>282</x:v>
      </x:c>
      <x:c r="F1098" s="8" t="n">
        <x:v>2397</x:v>
      </x:c>
    </x:row>
    <x:row r="1099" ht="23" customHeight="1">
      <x:c r="A1099" s="2" t="str">
        <x:v>Exports</x:v>
      </x:c>
      <x:c r="B1099" s="2" t="n">
        <x:v>362</x:v>
      </x:c>
      <x:c r="C1099" s="2" t="str">
        <x:v>Boilers and Cylinders ----     </x:v>
      </x:c>
      <x:c r="D1099" s="2" t="str">
        <x:v>cwts.</x:v>
      </x:c>
      <x:c r="E1099" s="8" t="n">
        <x:v>2015</x:v>
      </x:c>
      <x:c r="F1099" s="8" t="n">
        <x:v>4030</x:v>
      </x:c>
    </x:row>
    <x:row r="1100" ht="23" customHeight="1">
      <x:c r="A1100" s="2" t="str">
        <x:v>Exports</x:v>
      </x:c>
      <x:c r="B1100" s="2" t="n">
        <x:v>363</x:v>
      </x:c>
      <x:c r="C1100" s="2" t="str">
        <x:v>ORES - Iron Ore ----     </x:v>
      </x:c>
      <x:c r="D1100" s="2" t="str">
        <x:v>tons.</x:v>
      </x:c>
      <x:c r="E1100" s="8" t="n">
        <x:v>55965</x:v>
      </x:c>
      <x:c r="F1100" s="8" t="n">
        <x:v>19588</x:v>
      </x:c>
    </x:row>
    <x:row r="1101" ht="23" customHeight="1">
      <x:c r="A1101" s="2" t="str">
        <x:v>Exports</x:v>
      </x:c>
      <x:c r="B1101" s="2" t="n">
        <x:v>364</x:v>
      </x:c>
      <x:c r="C1101" s="2" t="str">
        <x:v>"        - Bog Ore ----     </x:v>
      </x:c>
      <x:c r="D1101" s="2" t="str">
        <x:v>"</x:v>
      </x:c>
      <x:c r="E1101" s="8" t="n">
        <x:v>2210</x:v>
      </x:c>
      <x:c r="F1101" s="8" t="n">
        <x:v>553</x:v>
      </x:c>
    </x:row>
    <x:row r="1102" ht="23" customHeight="1">
      <x:c r="A1102" s="2" t="str">
        <x:v>Exports</x:v>
      </x:c>
      <x:c r="B1102" s="2" t="n">
        <x:v>365</x:v>
      </x:c>
      <x:c r="C1102" s="2" t="str">
        <x:v>"        - Burnt Ore ----     </x:v>
      </x:c>
      <x:c r="D1102" s="2" t="str">
        <x:v>"</x:v>
      </x:c>
      <x:c r="E1102" s="8" t="n">
        <x:v>19718</x:v>
      </x:c>
      <x:c r="F1102" s="8" t="n">
        <x:v>19718</x:v>
      </x:c>
    </x:row>
    <x:row r="1103" ht="23" customHeight="1">
      <x:c r="A1103" s="2" t="str">
        <x:v>Exports</x:v>
      </x:c>
      <x:c r="B1103" s="2" t="n">
        <x:v>366</x:v>
      </x:c>
      <x:c r="C1103" s="2" t="str">
        <x:v>"        - White Ore ---     </x:v>
      </x:c>
      <x:c r="D1103" s="2" t="str">
        <x:v>cwts.</x:v>
      </x:c>
      <x:c r="E1103" s="8" t="n">
        <x:v>5864</x:v>
      </x:c>
      <x:c r="F1103" s="8" t="n">
        <x:v>220</x:v>
      </x:c>
    </x:row>
    <x:row r="1104" ht="23" customHeight="1">
      <x:c r="A1104" s="2" t="str">
        <x:v>Exports</x:v>
      </x:c>
      <x:c r="B1104" s="2" t="n">
        <x:v>367</x:v>
      </x:c>
      <x:c r="C1104" s="2" t="str">
        <x:v>"        - Sulphur Ore ----     </x:v>
      </x:c>
      <x:c r="D1104" s="2" t="str">
        <x:v>tons.</x:v>
      </x:c>
      <x:c r="E1104" s="8" t="n">
        <x:v>4414</x:v>
      </x:c>
      <x:c r="F1104" s="8" t="n">
        <x:v>3536</x:v>
      </x:c>
    </x:row>
    <x:row r="1105" ht="23" customHeight="1">
      <x:c r="A1105" s="2" t="str">
        <x:v>Exports</x:v>
      </x:c>
      <x:c r="B1105" s="2" t="n">
        <x:v>368</x:v>
      </x:c>
      <x:c r="C1105" s="2" t="str">
        <x:v>"        - Unclassified ----     </x:v>
      </x:c>
      <x:c r="D1105" s="2" t="str">
        <x:v>"</x:v>
      </x:c>
      <x:c r="E1105" s="8" t="n">
        <x:v>128</x:v>
      </x:c>
      <x:c r="F1105" s="8" t="n">
        <x:v>952</x:v>
      </x:c>
    </x:row>
    <x:row r="1106" ht="23" customHeight="1">
      <x:c r="A1106" s="2" t="str">
        <x:v>Exports</x:v>
      </x:c>
      <x:c r="B1106" s="2" t="n">
        <x:v>369</x:v>
      </x:c>
      <x:c r="C1106" s="2" t="str">
        <x:v>     </x:v>
      </x:c>
      <x:c r="D1106" s="2"/>
      <x:c r="E1106" s="8"/>
      <x:c r="F1106" s="8"/>
    </x:row>
    <x:row r="1107" ht="23" customHeight="1">
      <x:c r="A1107" s="2" t="str">
        <x:v>Exports</x:v>
      </x:c>
      <x:c r="B1107" s="2" t="n">
        <x:v>370</x:v>
      </x:c>
      <x:c r="C1107" s="2" t="str">
        <x:v>     </x:v>
      </x:c>
      <x:c r="D1107" s="2"/>
      <x:c r="E1107" s="8"/>
      <x:c r="F1107" s="8"/>
    </x:row>
    <x:row r="1108" ht="23" customHeight="1">
      <x:c r="A1108" s="2" t="str">
        <x:v>Exports</x:v>
      </x:c>
      <x:c r="B1108" s="2" t="n">
        <x:v>371</x:v>
      </x:c>
      <x:c r="C1108" s="2" t="str">
        <x:v>     </x:v>
      </x:c>
      <x:c r="D1108" s="2"/>
      <x:c r="E1108" s="8"/>
      <x:c r="F1108" s="8"/>
    </x:row>
    <x:row r="1109" ht="23" customHeight="1">
      <x:c r="A1109" s="2" t="str">
        <x:v>Exports</x:v>
      </x:c>
      <x:c r="B1109" s="2" t="n">
        <x:v>372</x:v>
      </x:c>
      <x:c r="C1109" s="2" t="str">
        <x:v>131. MILK - Condensed ----     </x:v>
      </x:c>
      <x:c r="D1109" s="2" t="str">
        <x:v>cwts.</x:v>
      </x:c>
      <x:c r="E1109" s="8" t="n">
        <x:v>251306</x:v>
      </x:c>
      <x:c r="F1109" s="8" t="n">
        <x:v>301567</x:v>
      </x:c>
    </x:row>
    <x:row r="1110" ht="23" customHeight="1">
      <x:c r="A1110" s="2" t="str">
        <x:v>Exports</x:v>
      </x:c>
      <x:c r="B1110" s="2" t="n">
        <x:v>373</x:v>
      </x:c>
      <x:c r="C1110" s="2" t="str">
        <x:v>"     - not Condensed ----     </x:v>
      </x:c>
      <x:c r="D1110" s="2" t="str">
        <x:v>"</x:v>
      </x:c>
      <x:c r="E1110" s="8" t="n">
        <x:v>17500</x:v>
      </x:c>
      <x:c r="F1110" s="8" t="n">
        <x:v>5651</x:v>
      </x:c>
    </x:row>
    <x:row r="1111" ht="23" customHeight="1">
      <x:c r="A1111" s="2" t="str">
        <x:v>Exports</x:v>
      </x:c>
      <x:c r="B1111" s="2" t="n">
        <x:v>374</x:v>
      </x:c>
      <x:c r="C1111" s="2" t="str">
        <x:v>     </x:v>
      </x:c>
      <x:c r="D1111" s="2"/>
      <x:c r="E1111" s="8"/>
      <x:c r="F1111" s="8"/>
    </x:row>
    <x:row r="1112" ht="23" customHeight="1">
      <x:c r="A1112" s="2" t="str">
        <x:v>Exports</x:v>
      </x:c>
      <x:c r="B1112" s="2" t="n">
        <x:v>375</x:v>
      </x:c>
      <x:c r="C1112" s="2" t="str">
        <x:v>     </x:v>
      </x:c>
      <x:c r="D1112" s="2"/>
      <x:c r="E1112" s="8"/>
      <x:c r="F1112" s="8"/>
    </x:row>
    <x:row r="1113" ht="23" customHeight="1">
      <x:c r="A1113" s="2" t="str">
        <x:v>Exports</x:v>
      </x:c>
      <x:c r="B1113" s="2" t="n">
        <x:v>376</x:v>
      </x:c>
      <x:c r="C1113" s="2" t="str">
        <x:v>     </x:v>
      </x:c>
      <x:c r="D1113" s="2"/>
      <x:c r="E1113" s="8"/>
      <x:c r="F1113" s="8"/>
    </x:row>
    <x:row r="1114" ht="23" customHeight="1">
      <x:c r="A1114" s="2" t="str">
        <x:v>Exports</x:v>
      </x:c>
      <x:c r="B1114" s="2" t="n">
        <x:v>377</x:v>
      </x:c>
      <x:c r="C1114" s="2" t="str">
        <x:v>132. MOSS ----     </x:v>
      </x:c>
      <x:c r="D1114" s="2" t="str">
        <x:v>"</x:v>
      </x:c>
      <x:c r="E1114" s="8" t="n">
        <x:v>8582</x:v>
      </x:c>
      <x:c r="F1114" s="8" t="n">
        <x:v>4291</x:v>
      </x:c>
    </x:row>
    <x:row r="1115" ht="23" customHeight="1">
      <x:c r="A1115" s="2" t="str">
        <x:v>Exports</x:v>
      </x:c>
      <x:c r="B1115" s="2" t="n">
        <x:v>378</x:v>
      </x:c>
      <x:c r="C1115" s="2" t="str">
        <x:v>     </x:v>
      </x:c>
      <x:c r="D1115" s="2"/>
      <x:c r="E1115" s="8"/>
      <x:c r="F1115" s="8"/>
    </x:row>
    <x:row r="1116" ht="23" customHeight="1">
      <x:c r="A1116" s="2" t="str">
        <x:v>Exports</x:v>
      </x:c>
      <x:c r="B1116" s="2" t="n">
        <x:v>379</x:v>
      </x:c>
      <x:c r="C1116" s="2" t="str">
        <x:v>     </x:v>
      </x:c>
      <x:c r="D1116" s="2"/>
      <x:c r="E1116" s="8"/>
      <x:c r="F1116" s="8"/>
    </x:row>
    <x:row r="1117" ht="23" customHeight="1">
      <x:c r="A1117" s="2" t="str">
        <x:v>Exports</x:v>
      </x:c>
      <x:c r="B1117" s="2" t="n">
        <x:v>380</x:v>
      </x:c>
      <x:c r="C1117" s="2" t="str">
        <x:v>     </x:v>
      </x:c>
      <x:c r="D1117" s="2"/>
      <x:c r="E1117" s="8"/>
      <x:c r="F1117" s="8"/>
    </x:row>
    <x:row r="1118" ht="23" customHeight="1">
      <x:c r="A1118" s="2" t="str">
        <x:v>Exports</x:v>
      </x:c>
      <x:c r="B1118" s="2" t="n">
        <x:v>381</x:v>
      </x:c>
      <x:c r="C1118" s="2" t="str">
        <x:v>133. OILS -     </x:v>
      </x:c>
      <x:c r="D1118" s="2"/>
      <x:c r="E1118" s="8"/>
      <x:c r="F1118" s="8"/>
    </x:row>
    <x:row r="1119" ht="23" customHeight="1">
      <x:c r="A1119" s="2" t="str">
        <x:v>Exports</x:v>
      </x:c>
      <x:c r="B1119" s="2" t="n">
        <x:v>382</x:v>
      </x:c>
      <x:c r="C1119" s="2" t="str">
        <x:v>Petroleum and Paraffin Oil ----     </x:v>
      </x:c>
      <x:c r="D1119" s="2" t="str">
        <x:v>galls.</x:v>
      </x:c>
      <x:c r="E1119" s="8" t="n">
        <x:v>2719914</x:v>
      </x:c>
      <x:c r="F1119" s="8" t="n">
        <x:v>70831</x:v>
      </x:c>
    </x:row>
    <x:row r="1120" ht="23" customHeight="1">
      <x:c r="A1120" s="2" t="str">
        <x:v>Exports</x:v>
      </x:c>
      <x:c r="B1120" s="2" t="n">
        <x:v>383</x:v>
      </x:c>
      <x:c r="C1120" s="2" t="str">
        <x:v>Oils, unclassified ----     </x:v>
      </x:c>
      <x:c r="D1120" s="2" t="str">
        <x:v>cwts.</x:v>
      </x:c>
      <x:c r="E1120" s="8" t="n">
        <x:v>28388</x:v>
      </x:c>
      <x:c r="F1120" s="8" t="n">
        <x:v>17033</x:v>
      </x:c>
    </x:row>
    <x:row r="1121" ht="23" customHeight="1">
      <x:c r="A1121" s="2" t="str">
        <x:v>Exports</x:v>
      </x:c>
      <x:c r="B1121" s="2" t="n">
        <x:v>384</x:v>
      </x:c>
      <x:c r="C1121" s="2" t="str">
        <x:v>     </x:v>
      </x:c>
      <x:c r="D1121" s="2"/>
      <x:c r="E1121" s="8"/>
      <x:c r="F1121" s="8"/>
    </x:row>
    <x:row r="1122" ht="23" customHeight="1">
      <x:c r="A1122" s="2" t="str">
        <x:v>Exports</x:v>
      </x:c>
      <x:c r="B1122" s="2" t="n">
        <x:v>385</x:v>
      </x:c>
      <x:c r="C1122" s="2" t="str">
        <x:v>     </x:v>
      </x:c>
      <x:c r="D1122" s="2"/>
      <x:c r="E1122" s="8"/>
      <x:c r="F1122" s="8"/>
    </x:row>
    <x:row r="1123" ht="23" customHeight="1">
      <x:c r="A1123" s="2" t="str">
        <x:v>Exports</x:v>
      </x:c>
      <x:c r="B1123" s="2" t="n">
        <x:v>386</x:v>
      </x:c>
      <x:c r="C1123" s="2" t="str">
        <x:v>     </x:v>
      </x:c>
      <x:c r="D1123" s="2"/>
      <x:c r="E1123" s="8"/>
      <x:c r="F1123" s="8"/>
    </x:row>
    <x:row r="1124" ht="23" customHeight="1">
      <x:c r="A1124" s="2" t="str">
        <x:v>Exports</x:v>
      </x:c>
      <x:c r="B1124" s="2" t="n">
        <x:v>387</x:v>
      </x:c>
      <x:c r="C1124" s="2" t="str">
        <x:v>134. PAINTS and PAINTERS' MATERIALS -     </x:v>
      </x:c>
      <x:c r="D1124" s="2"/>
      <x:c r="E1124" s="8"/>
      <x:c r="F1124" s="8"/>
    </x:row>
    <x:row r="1125" ht="23" customHeight="1">
      <x:c r="A1125" s="2" t="str">
        <x:v>Exports</x:v>
      </x:c>
      <x:c r="B1125" s="2" t="n">
        <x:v>388</x:v>
      </x:c>
      <x:c r="C1125" s="2" t="str">
        <x:v>Paints, unclassified ----     </x:v>
      </x:c>
      <x:c r="D1125" s="2" t="str">
        <x:v>"</x:v>
      </x:c>
      <x:c r="E1125" s="8" t="n">
        <x:v>1920</x:v>
      </x:c>
      <x:c r="F1125" s="8" t="n">
        <x:v>960</x:v>
      </x:c>
    </x:row>
    <x:row r="1126" ht="23" customHeight="1">
      <x:c r="A1126" s="2" t="str">
        <x:v>Exports</x:v>
      </x:c>
      <x:c r="B1126" s="2" t="n">
        <x:v>389</x:v>
      </x:c>
      <x:c r="C1126" s="2" t="str">
        <x:v>Varnish ----     </x:v>
      </x:c>
      <x:c r="D1126" s="2" t="str">
        <x:v>"</x:v>
      </x:c>
      <x:c r="E1126" s="8" t="n">
        <x:v>453</x:v>
      </x:c>
      <x:c r="F1126" s="8" t="n">
        <x:v>1586</x:v>
      </x:c>
    </x:row>
    <x:row r="1127" ht="23" customHeight="1">
      <x:c r="A1127" s="2" t="str">
        <x:v>Exports</x:v>
      </x:c>
      <x:c r="B1127" s="2" t="n">
        <x:v>390</x:v>
      </x:c>
      <x:c r="C1127" s="2" t="str">
        <x:v>Lampblack ----     </x:v>
      </x:c>
      <x:c r="D1127" s="2" t="str">
        <x:v>"</x:v>
      </x:c>
      <x:c r="E1127" s="8" t="n">
        <x:v>780</x:v>
      </x:c>
      <x:c r="F1127" s="8" t="n">
        <x:v>273</x:v>
      </x:c>
    </x:row>
    <x:row r="1128" ht="23" customHeight="1">
      <x:c r="A1128" s="2" t="str">
        <x:v>Exports</x:v>
      </x:c>
      <x:c r="B1128" s="2" t="n">
        <x:v>391</x:v>
      </x:c>
      <x:c r="C1128" s="2" t="str">
        <x:v>Barytes ----     </x:v>
      </x:c>
      <x:c r="D1128" s="2" t="str">
        <x:v>"</x:v>
      </x:c>
      <x:c r="E1128" s="8" t="n">
        <x:v>29370</x:v>
      </x:c>
      <x:c r="F1128" s="8" t="n">
        <x:v>3671</x:v>
      </x:c>
    </x:row>
    <x:row r="1129" ht="23" customHeight="1">
      <x:c r="A1129" s="2" t="str">
        <x:v>Exports</x:v>
      </x:c>
      <x:c r="B1129" s="2" t="n">
        <x:v>392</x:v>
      </x:c>
      <x:c r="C1129" s="2" t="str">
        <x:v>Ochre ----     </x:v>
      </x:c>
      <x:c r="D1129" s="2" t="str">
        <x:v>"</x:v>
      </x:c>
      <x:c r="E1129" s="8" t="n">
        <x:v>4762</x:v>
      </x:c>
      <x:c r="F1129" s="8" t="n">
        <x:v>746</x:v>
      </x:c>
    </x:row>
    <x:row r="1130" ht="23" customHeight="1">
      <x:c r="A1130" s="2" t="str">
        <x:v>Exports</x:v>
      </x:c>
      <x:c r="B1130" s="2" t="n">
        <x:v>393</x:v>
      </x:c>
      <x:c r="C1130" s="2" t="str">
        <x:v>Putty ----     </x:v>
      </x:c>
      <x:c r="D1130" s="2" t="str">
        <x:v>"</x:v>
      </x:c>
      <x:c r="E1130" s="8" t="n">
        <x:v>26</x:v>
      </x:c>
      <x:c r="F1130" s="8" t="n">
        <x:v>7</x:v>
      </x:c>
    </x:row>
    <x:row r="1131" ht="23" customHeight="1">
      <x:c r="A1131" s="2" t="str">
        <x:v>Exports</x:v>
      </x:c>
      <x:c r="B1131" s="2" t="n">
        <x:v>394</x:v>
      </x:c>
      <x:c r="C1131" s="2" t="str">
        <x:v>Sizing ----     </x:v>
      </x:c>
      <x:c r="D1131" s="2" t="str">
        <x:v>"</x:v>
      </x:c>
      <x:c r="E1131" s="8" t="n">
        <x:v>139</x:v>
      </x:c>
      <x:c r="F1131" s="8" t="n">
        <x:v>375</x:v>
      </x:c>
    </x:row>
    <x:row r="1132" ht="23" customHeight="1">
      <x:c r="A1132" s="2" t="str">
        <x:v>Exports</x:v>
      </x:c>
      <x:c r="B1132" s="2" t="n">
        <x:v>395</x:v>
      </x:c>
      <x:c r="C1132" s="2" t="str">
        <x:v>     </x:v>
      </x:c>
      <x:c r="D1132" s="2"/>
      <x:c r="E1132" s="8"/>
      <x:c r="F1132" s="8"/>
    </x:row>
    <x:row r="1133" ht="23" customHeight="1">
      <x:c r="A1133" s="2" t="str">
        <x:v>Exports</x:v>
      </x:c>
      <x:c r="B1133" s="2" t="n">
        <x:v>396</x:v>
      </x:c>
      <x:c r="C1133" s="2" t="str">
        <x:v>     </x:v>
      </x:c>
      <x:c r="D1133" s="2"/>
      <x:c r="E1133" s="8"/>
      <x:c r="F1133" s="8"/>
    </x:row>
    <x:row r="1134" ht="23" customHeight="1">
      <x:c r="A1134" s="2" t="str">
        <x:v>Exports</x:v>
      </x:c>
      <x:c r="B1134" s="2" t="n">
        <x:v>397</x:v>
      </x:c>
      <x:c r="C1134" s="2" t="str">
        <x:v>     </x:v>
      </x:c>
      <x:c r="D1134" s="2"/>
      <x:c r="E1134" s="8"/>
      <x:c r="F1134" s="8"/>
    </x:row>
    <x:row r="1135" ht="23" customHeight="1">
      <x:c r="A1135" s="2" t="str">
        <x:v>Exports</x:v>
      </x:c>
      <x:c r="B1135" s="2" t="n">
        <x:v>398</x:v>
      </x:c>
      <x:c r="C1135" s="2" t="str">
        <x:v>135. PAPER and PRINTED MATTER -     </x:v>
      </x:c>
      <x:c r="D1135" s="2"/>
      <x:c r="E1135" s="8"/>
      <x:c r="F1135" s="8"/>
    </x:row>
    <x:row r="1136" ht="23" customHeight="1">
      <x:c r="A1136" s="2" t="str">
        <x:v>Exports</x:v>
      </x:c>
      <x:c r="B1136" s="2" t="n">
        <x:v>399</x:v>
      </x:c>
      <x:c r="C1136" s="2" t="str">
        <x:v>Paper ----     </x:v>
      </x:c>
      <x:c r="D1136" s="2" t="str">
        <x:v>"</x:v>
      </x:c>
      <x:c r="E1136" s="8" t="n">
        <x:v>162138</x:v>
      </x:c>
      <x:c r="F1136" s="8" t="n">
        <x:v>137817</x:v>
      </x:c>
    </x:row>
    <x:row r="1137" ht="23" customHeight="1">
      <x:c r="A1137" s="2" t="str">
        <x:v>Exports</x:v>
      </x:c>
      <x:c r="B1137" s="2" t="n">
        <x:v>400</x:v>
      </x:c>
      <x:c r="C1137" s="2" t="str">
        <x:v>Woodpulp ----     </x:v>
      </x:c>
      <x:c r="D1137" s="2" t="str">
        <x:v>tons.</x:v>
      </x:c>
      <x:c r="E1137" s="8" t="n">
        <x:v>763</x:v>
      </x:c>
      <x:c r="F1137" s="8" t="n">
        <x:v>3815</x:v>
      </x:c>
    </x:row>
    <x:row r="1138" ht="23" customHeight="1">
      <x:c r="A1138" s="2" t="str">
        <x:v>Exports</x:v>
      </x:c>
      <x:c r="B1138" s="2" t="n">
        <x:v>401</x:v>
      </x:c>
      <x:c r="C1138" s="2" t="str">
        <x:v>Foreign Grass ----     </x:v>
      </x:c>
      <x:c r="D1138" s="2" t="str">
        <x:v>cwts.</x:v>
      </x:c>
      <x:c r="E1138" s="8" t="n">
        <x:v>2015</x:v>
      </x:c>
      <x:c r="F1138" s="8" t="n">
        <x:v>378</x:v>
      </x:c>
    </x:row>
    <x:row r="1139" ht="23" customHeight="1">
      <x:c r="A1139" s="2" t="str">
        <x:v>Exports</x:v>
      </x:c>
      <x:c r="B1139" s="2" t="n">
        <x:v>402</x:v>
      </x:c>
      <x:c r="C1139" s="2" t="str">
        <x:v>Millboards ----     </x:v>
      </x:c>
      <x:c r="D1139" s="2" t="str">
        <x:v>"</x:v>
      </x:c>
      <x:c r="E1139" s="8" t="n">
        <x:v>16894</x:v>
      </x:c>
      <x:c r="F1139" s="8" t="n">
        <x:v>8447</x:v>
      </x:c>
    </x:row>
    <x:row r="1140" ht="23" customHeight="1">
      <x:c r="A1140" s="2" t="str">
        <x:v>Exports</x:v>
      </x:c>
      <x:c r="B1140" s="2" t="n">
        <x:v>403</x:v>
      </x:c>
      <x:c r="C1140" s="2" t="str">
        <x:v>Stationery ----     </x:v>
      </x:c>
      <x:c r="D1140" s="2" t="str">
        <x:v>"</x:v>
      </x:c>
      <x:c r="E1140" s="8" t="n">
        <x:v>18783</x:v>
      </x:c>
      <x:c r="F1140" s="8" t="n">
        <x:v>46957</x:v>
      </x:c>
    </x:row>
    <x:row r="1141" ht="23" customHeight="1">
      <x:c r="A1141" s="2" t="str">
        <x:v>Exports</x:v>
      </x:c>
      <x:c r="B1141" s="2" t="n">
        <x:v>404</x:v>
      </x:c>
      <x:c r="C1141" s="2" t="str">
        <x:v>Books ----     </x:v>
      </x:c>
      <x:c r="D1141" s="2" t="str">
        <x:v>"</x:v>
      </x:c>
      <x:c r="E1141" s="8" t="n">
        <x:v>3609</x:v>
      </x:c>
      <x:c r="F1141" s="8" t="n">
        <x:v>8662</x:v>
      </x:c>
    </x:row>
    <x:row r="1142" ht="23" customHeight="1">
      <x:c r="A1142" s="2" t="str">
        <x:v>Exports</x:v>
      </x:c>
      <x:c r="B1142" s="2" t="n">
        <x:v>405</x:v>
      </x:c>
      <x:c r="C1142" s="2" t="str">
        <x:v>Showcards ----     </x:v>
      </x:c>
      <x:c r="D1142" s="2" t="str">
        <x:v>"</x:v>
      </x:c>
      <x:c r="E1142" s="8" t="n">
        <x:v>11856</x:v>
      </x:c>
      <x:c r="F1142" s="8" t="n">
        <x:v>82992</x:v>
      </x:c>
    </x:row>
    <x:row r="1143" ht="23" customHeight="1">
      <x:c r="A1143" s="2" t="str">
        <x:v>Exports</x:v>
      </x:c>
      <x:c r="B1143" s="2" t="n">
        <x:v>406</x:v>
      </x:c>
      <x:c r="C1143" s="2" t="str">
        <x:v>Other Printed Matter, Newspapers,&amp;c. ----     </x:v>
      </x:c>
      <x:c r="D1143" s="2" t="str">
        <x:v>"</x:v>
      </x:c>
      <x:c r="E1143" s="8" t="n">
        <x:v>2922</x:v>
      </x:c>
      <x:c r="F1143" s="8" t="n">
        <x:v>3068</x:v>
      </x:c>
    </x:row>
    <x:row r="1144" ht="23" customHeight="1">
      <x:c r="A1144" s="2" t="str">
        <x:v>Exports</x:v>
      </x:c>
      <x:c r="B1144" s="2" t="n">
        <x:v>407</x:v>
      </x:c>
      <x:c r="C1144" s="2" t="str">
        <x:v>     </x:v>
      </x:c>
      <x:c r="D1144" s="2"/>
      <x:c r="E1144" s="8"/>
      <x:c r="F1144" s="8"/>
    </x:row>
    <x:row r="1145" ht="23" customHeight="1">
      <x:c r="A1145" s="2" t="str">
        <x:v>Exports</x:v>
      </x:c>
      <x:c r="B1145" s="2" t="n">
        <x:v>408</x:v>
      </x:c>
      <x:c r="C1145" s="2" t="str">
        <x:v>     </x:v>
      </x:c>
      <x:c r="D1145" s="2"/>
      <x:c r="E1145" s="8"/>
      <x:c r="F1145" s="8"/>
    </x:row>
    <x:row r="1146" ht="23" customHeight="1">
      <x:c r="A1146" s="2" t="str">
        <x:v>Exports</x:v>
      </x:c>
      <x:c r="B1146" s="2" t="n">
        <x:v>409</x:v>
      </x:c>
      <x:c r="C1146" s="2" t="str">
        <x:v>     </x:v>
      </x:c>
      <x:c r="D1146" s="2"/>
      <x:c r="E1146" s="8"/>
      <x:c r="F1146" s="8"/>
    </x:row>
    <x:row r="1147" ht="23" customHeight="1">
      <x:c r="A1147" s="2" t="str">
        <x:v>Exports</x:v>
      </x:c>
      <x:c r="B1147" s="2" t="n">
        <x:v>410</x:v>
      </x:c>
      <x:c r="C1147" s="2" t="str">
        <x:v>136.PARAFFIN SHALE ----     </x:v>
      </x:c>
      <x:c r="D1147" s="2" t="str">
        <x:v>"</x:v>
      </x:c>
      <x:c r="E1147" s="8" t="str">
        <x:v>-</x:v>
      </x:c>
      <x:c r="F1147" s="8" t="str">
        <x:v>-</x:v>
      </x:c>
    </x:row>
    <x:row r="1148" ht="23" customHeight="1">
      <x:c r="A1148" s="2" t="str">
        <x:v>Exports</x:v>
      </x:c>
      <x:c r="B1148" s="2" t="n">
        <x:v>411</x:v>
      </x:c>
      <x:c r="C1148" s="2" t="str">
        <x:v>     </x:v>
      </x:c>
      <x:c r="D1148" s="2"/>
      <x:c r="E1148" s="8"/>
      <x:c r="F1148" s="8"/>
    </x:row>
    <x:row r="1149" ht="23" customHeight="1">
      <x:c r="A1149" s="2" t="str">
        <x:v>Exports</x:v>
      </x:c>
      <x:c r="B1149" s="2" t="n">
        <x:v>412</x:v>
      </x:c>
      <x:c r="C1149" s="2" t="str">
        <x:v>     </x:v>
      </x:c>
      <x:c r="D1149" s="2"/>
      <x:c r="E1149" s="8"/>
      <x:c r="F1149" s="8"/>
    </x:row>
    <x:row r="1150" ht="23" customHeight="1">
      <x:c r="A1150" s="2" t="str">
        <x:v>Exports</x:v>
      </x:c>
      <x:c r="B1150" s="2" t="n">
        <x:v>413</x:v>
      </x:c>
      <x:c r="C1150" s="2" t="str">
        <x:v>     </x:v>
      </x:c>
      <x:c r="D1150" s="2"/>
      <x:c r="E1150" s="8"/>
      <x:c r="F1150" s="8"/>
    </x:row>
    <x:row r="1151" ht="23" customHeight="1">
      <x:c r="A1151" s="2" t="str">
        <x:v>Exports</x:v>
      </x:c>
      <x:c r="B1151" s="2" t="n">
        <x:v>414</x:v>
      </x:c>
      <x:c r="C1151" s="2" t="str">
        <x:v>137. PEAT ----     </x:v>
      </x:c>
      <x:c r="D1151" s="2" t="str">
        <x:v>"</x:v>
      </x:c>
      <x:c r="E1151" s="8" t="n">
        <x:v>4868</x:v>
      </x:c>
      <x:c r="F1151" s="8" t="n">
        <x:v>365</x:v>
      </x:c>
    </x:row>
    <x:row r="1152" ht="23" customHeight="1">
      <x:c r="A1152" s="2" t="str">
        <x:v>Exports</x:v>
      </x:c>
      <x:c r="B1152" s="2" t="n">
        <x:v>415</x:v>
      </x:c>
      <x:c r="C1152" s="2" t="str">
        <x:v>     </x:v>
      </x:c>
      <x:c r="D1152" s="2"/>
      <x:c r="E1152" s="8"/>
      <x:c r="F1152" s="8"/>
    </x:row>
    <x:row r="1153" ht="23" customHeight="1">
      <x:c r="A1153" s="2" t="str">
        <x:v>Exports</x:v>
      </x:c>
      <x:c r="B1153" s="2" t="n">
        <x:v>416</x:v>
      </x:c>
      <x:c r="C1153" s="2" t="str">
        <x:v>     </x:v>
      </x:c>
      <x:c r="D1153" s="2"/>
      <x:c r="E1153" s="8"/>
      <x:c r="F1153" s="8"/>
    </x:row>
    <x:row r="1154" ht="23" customHeight="1">
      <x:c r="A1154" s="2" t="str">
        <x:v>Exports</x:v>
      </x:c>
      <x:c r="B1154" s="2" t="n">
        <x:v>417</x:v>
      </x:c>
      <x:c r="C1154" s="2" t="str">
        <x:v>     </x:v>
      </x:c>
      <x:c r="D1154" s="2"/>
      <x:c r="E1154" s="8"/>
      <x:c r="F1154" s="8"/>
    </x:row>
    <x:row r="1155" ht="23" customHeight="1">
      <x:c r="A1155" s="2" t="str">
        <x:v>Exports</x:v>
      </x:c>
      <x:c r="B1155" s="2" t="n">
        <x:v>418</x:v>
      </x:c>
      <x:c r="C1155" s="2" t="str">
        <x:v>138. PICKLES,SAUCES,&amp;c. ----     </x:v>
      </x:c>
      <x:c r="D1155" s="2" t="str">
        <x:v>"</x:v>
      </x:c>
      <x:c r="E1155" s="8" t="n">
        <x:v>177</x:v>
      </x:c>
      <x:c r="F1155" s="8" t="n">
        <x:v>376</x:v>
      </x:c>
    </x:row>
    <x:row r="1156" ht="23" customHeight="1">
      <x:c r="A1156" s="2" t="str">
        <x:v>Exports</x:v>
      </x:c>
      <x:c r="B1156" s="2" t="n">
        <x:v>419</x:v>
      </x:c>
      <x:c r="C1156" s="2" t="str">
        <x:v>"             "        , Vinegar ----     </x:v>
      </x:c>
      <x:c r="D1156" s="2" t="str">
        <x:v>galls.</x:v>
      </x:c>
      <x:c r="E1156" s="8" t="n">
        <x:v>48260</x:v>
      </x:c>
      <x:c r="F1156" s="8" t="n">
        <x:v>1206</x:v>
      </x:c>
    </x:row>
    <x:row r="1157" ht="23" customHeight="1">
      <x:c r="A1157" s="2" t="str">
        <x:v>Exports</x:v>
      </x:c>
      <x:c r="B1157" s="2" t="n">
        <x:v>420</x:v>
      </x:c>
      <x:c r="C1157" s="2" t="str">
        <x:v>     </x:v>
      </x:c>
      <x:c r="D1157" s="2"/>
      <x:c r="E1157" s="8"/>
      <x:c r="F1157" s="8"/>
    </x:row>
    <x:row r="1158" ht="23" customHeight="1">
      <x:c r="A1158" s="2" t="str">
        <x:v>Exports</x:v>
      </x:c>
      <x:c r="B1158" s="2" t="n">
        <x:v>421</x:v>
      </x:c>
      <x:c r="C1158" s="2" t="str">
        <x:v>     </x:v>
      </x:c>
      <x:c r="D1158" s="2"/>
      <x:c r="E1158" s="8"/>
      <x:c r="F1158" s="8"/>
    </x:row>
    <x:row r="1159" ht="23" customHeight="1">
      <x:c r="A1159" s="2" t="str">
        <x:v>Exports</x:v>
      </x:c>
      <x:c r="B1159" s="2" t="n">
        <x:v>422</x:v>
      </x:c>
      <x:c r="C1159" s="2" t="str">
        <x:v>     </x:v>
      </x:c>
      <x:c r="D1159" s="2"/>
      <x:c r="E1159" s="8"/>
      <x:c r="F1159" s="8"/>
    </x:row>
    <x:row r="1160" ht="23" customHeight="1">
      <x:c r="A1160" s="2" t="str">
        <x:v>Exports</x:v>
      </x:c>
      <x:c r="B1160" s="2" t="n">
        <x:v>423</x:v>
      </x:c>
      <x:c r="C1160" s="2" t="str">
        <x:v>139. PICTURES, ENGRAVINGS, &amp;c. ----     </x:v>
      </x:c>
      <x:c r="D1160" s="2" t="str">
        <x:v>cwts.</x:v>
      </x:c>
      <x:c r="E1160" s="8" t="n">
        <x:v>1087</x:v>
      </x:c>
      <x:c r="F1160" s="8" t="n">
        <x:v>8152</x:v>
      </x:c>
    </x:row>
    <x:row r="1161" ht="23" customHeight="1">
      <x:c r="A1161" s="2" t="str">
        <x:v>Exports</x:v>
      </x:c>
      <x:c r="B1161" s="2" t="n">
        <x:v>424</x:v>
      </x:c>
      <x:c r="C1161" s="2" t="str">
        <x:v>     </x:v>
      </x:c>
      <x:c r="D1161" s="2"/>
      <x:c r="E1161" s="8"/>
      <x:c r="F1161" s="8"/>
    </x:row>
    <x:row r="1162" ht="23" customHeight="1">
      <x:c r="A1162" s="2" t="str">
        <x:v>Exports</x:v>
      </x:c>
      <x:c r="B1162" s="2" t="n">
        <x:v>425</x:v>
      </x:c>
      <x:c r="C1162" s="2" t="str">
        <x:v>     </x:v>
      </x:c>
      <x:c r="D1162" s="2"/>
      <x:c r="E1162" s="8"/>
      <x:c r="F1162" s="8"/>
    </x:row>
    <x:row r="1163" ht="23" customHeight="1">
      <x:c r="A1163" s="2" t="str">
        <x:v>Exports</x:v>
      </x:c>
      <x:c r="B1163" s="2" t="n">
        <x:v>426</x:v>
      </x:c>
      <x:c r="C1163" s="2" t="str">
        <x:v>     </x:v>
      </x:c>
      <x:c r="D1163" s="2"/>
      <x:c r="E1163" s="8"/>
      <x:c r="F1163" s="8"/>
    </x:row>
    <x:row r="1164" ht="23" customHeight="1">
      <x:c r="A1164" s="2" t="str">
        <x:v>Exports</x:v>
      </x:c>
      <x:c r="B1164" s="2" t="n">
        <x:v>427</x:v>
      </x:c>
      <x:c r="C1164" s="2" t="str">
        <x:v>140. POLISHES and ABRASIVES -     </x:v>
      </x:c>
      <x:c r="D1164" s="2"/>
      <x:c r="E1164" s="8"/>
      <x:c r="F1164" s="8"/>
    </x:row>
    <x:row r="1165" ht="23" customHeight="1">
      <x:c r="A1165" s="2" t="str">
        <x:v>Exports</x:v>
      </x:c>
      <x:c r="B1165" s="2" t="n">
        <x:v>428</x:v>
      </x:c>
      <x:c r="C1165" s="2" t="str">
        <x:v>Blacking ----     </x:v>
      </x:c>
      <x:c r="D1165" s="2" t="str">
        <x:v>"</x:v>
      </x:c>
      <x:c r="E1165" s="8" t="n">
        <x:v>307</x:v>
      </x:c>
      <x:c r="F1165" s="8" t="n">
        <x:v>153</x:v>
      </x:c>
    </x:row>
    <x:row r="1166" ht="23" customHeight="1">
      <x:c r="A1166" s="2" t="str">
        <x:v>Exports</x:v>
      </x:c>
      <x:c r="B1166" s="2" t="n">
        <x:v>429</x:v>
      </x:c>
      <x:c r="C1166" s="2" t="str">
        <x:v>Polishes,unclassified ----     </x:v>
      </x:c>
      <x:c r="D1166" s="2" t="str">
        <x:v>"</x:v>
      </x:c>
      <x:c r="E1166" s="8" t="n">
        <x:v>210</x:v>
      </x:c>
      <x:c r="F1166" s="8" t="n">
        <x:v>473</x:v>
      </x:c>
    </x:row>
    <x:row r="1167" ht="23" customHeight="1">
      <x:c r="A1167" s="2" t="str">
        <x:v>Exports</x:v>
      </x:c>
      <x:c r="B1167" s="2" t="n">
        <x:v>430</x:v>
      </x:c>
      <x:c r="C1167" s="2" t="str">
        <x:v>     </x:v>
      </x:c>
      <x:c r="D1167" s="2"/>
      <x:c r="E1167" s="8"/>
      <x:c r="F1167" s="8"/>
    </x:row>
    <x:row r="1168" ht="23" customHeight="1">
      <x:c r="A1168" s="2" t="str">
        <x:v>Exports</x:v>
      </x:c>
      <x:c r="B1168" s="2" t="n">
        <x:v>431</x:v>
      </x:c>
      <x:c r="C1168" s="2" t="str">
        <x:v>     </x:v>
      </x:c>
      <x:c r="D1168" s="2"/>
      <x:c r="E1168" s="8"/>
      <x:c r="F1168" s="8"/>
    </x:row>
    <x:row r="1169" ht="23" customHeight="1">
      <x:c r="A1169" s="2" t="str">
        <x:v>Exports</x:v>
      </x:c>
      <x:c r="B1169" s="2" t="n">
        <x:v>432</x:v>
      </x:c>
      <x:c r="C1169" s="2" t="str">
        <x:v>     </x:v>
      </x:c>
      <x:c r="D1169" s="2"/>
      <x:c r="E1169" s="8"/>
      <x:c r="F1169" s="8"/>
    </x:row>
    <x:row r="1170" ht="23" customHeight="1">
      <x:c r="A1170" s="2" t="str">
        <x:v>Exports</x:v>
      </x:c>
      <x:c r="B1170" s="2" t="n">
        <x:v>433</x:v>
      </x:c>
      <x:c r="C1170" s="2" t="str">
        <x:v>141. RAGS ----     </x:v>
      </x:c>
      <x:c r="D1170" s="2" t="str">
        <x:v>tons.</x:v>
      </x:c>
      <x:c r="E1170" s="8" t="n">
        <x:v>4988</x:v>
      </x:c>
      <x:c r="F1170" s="8" t="n">
        <x:v>12470</x:v>
      </x:c>
    </x:row>
    <x:row r="1171" ht="23" customHeight="1">
      <x:c r="A1171" s="2" t="str">
        <x:v>Exports</x:v>
      </x:c>
      <x:c r="B1171" s="2" t="n">
        <x:v>434</x:v>
      </x:c>
      <x:c r="C1171" s="2" t="str">
        <x:v>     </x:v>
      </x:c>
      <x:c r="D1171" s="2"/>
      <x:c r="E1171" s="8"/>
      <x:c r="F1171" s="8"/>
    </x:row>
    <x:row r="1172" ht="23" customHeight="1">
      <x:c r="A1172" s="2" t="str">
        <x:v>Exports</x:v>
      </x:c>
      <x:c r="B1172" s="2" t="n">
        <x:v>435</x:v>
      </x:c>
      <x:c r="C1172" s="2" t="str">
        <x:v>     </x:v>
      </x:c>
      <x:c r="D1172" s="2"/>
      <x:c r="E1172" s="8"/>
      <x:c r="F1172" s="8"/>
    </x:row>
    <x:row r="1173" ht="23" customHeight="1">
      <x:c r="A1173" s="2" t="str">
        <x:v>Exports</x:v>
      </x:c>
      <x:c r="B1173" s="2" t="n">
        <x:v>436</x:v>
      </x:c>
      <x:c r="C1173" s="2" t="str">
        <x:v>     </x:v>
      </x:c>
      <x:c r="D1173" s="2"/>
      <x:c r="E1173" s="8"/>
      <x:c r="F1173" s="8"/>
    </x:row>
    <x:row r="1174" ht="23" customHeight="1">
      <x:c r="A1174" s="2" t="str">
        <x:v>Exports</x:v>
      </x:c>
      <x:c r="B1174" s="2" t="n">
        <x:v>437</x:v>
      </x:c>
      <x:c r="C1174" s="2" t="str">
        <x:v>142. RESIN ----     </x:v>
      </x:c>
      <x:c r="D1174" s="2" t="str">
        <x:v>cwts.</x:v>
      </x:c>
      <x:c r="E1174" s="8" t="n">
        <x:v>3594</x:v>
      </x:c>
      <x:c r="F1174" s="8" t="n">
        <x:v>1348</x:v>
      </x:c>
    </x:row>
    <x:row r="1175" ht="23" customHeight="1">
      <x:c r="A1175" s="2" t="str">
        <x:v>Exports</x:v>
      </x:c>
      <x:c r="B1175" s="2" t="n">
        <x:v>438</x:v>
      </x:c>
      <x:c r="C1175" s="2" t="str">
        <x:v>     </x:v>
      </x:c>
      <x:c r="D1175" s="2"/>
      <x:c r="E1175" s="8"/>
      <x:c r="F1175" s="8"/>
    </x:row>
    <x:row r="1176" ht="23" customHeight="1">
      <x:c r="A1176" s="2" t="str">
        <x:v>Exports</x:v>
      </x:c>
      <x:c r="B1176" s="2" t="n">
        <x:v>439</x:v>
      </x:c>
      <x:c r="C1176" s="2" t="str">
        <x:v>     </x:v>
      </x:c>
      <x:c r="D1176" s="2"/>
      <x:c r="E1176" s="8"/>
      <x:c r="F1176" s="8"/>
    </x:row>
    <x:row r="1177" ht="23" customHeight="1">
      <x:c r="A1177" s="2" t="str">
        <x:v>Exports</x:v>
      </x:c>
      <x:c r="B1177" s="2" t="n">
        <x:v>440</x:v>
      </x:c>
      <x:c r="C1177" s="2" t="str">
        <x:v>     </x:v>
      </x:c>
      <x:c r="D1177" s="2"/>
      <x:c r="E1177" s="8"/>
      <x:c r="F1177" s="8"/>
    </x:row>
    <x:row r="1178" ht="23" customHeight="1">
      <x:c r="A1178" s="2" t="str">
        <x:v>Exports</x:v>
      </x:c>
      <x:c r="B1178" s="2" t="n">
        <x:v>441</x:v>
      </x:c>
      <x:c r="C1178" s="2" t="str">
        <x:v>143. SALT -     </x:v>
      </x:c>
      <x:c r="D1178" s="2"/>
      <x:c r="E1178" s="8"/>
      <x:c r="F1178" s="8"/>
    </x:row>
    <x:row r="1179" ht="23" customHeight="1">
      <x:c r="A1179" s="2" t="str">
        <x:v>Exports</x:v>
      </x:c>
      <x:c r="B1179" s="2" t="n">
        <x:v>442</x:v>
      </x:c>
      <x:c r="C1179" s="2" t="str">
        <x:v>Manufactured ----     </x:v>
      </x:c>
      <x:c r="D1179" s="2" t="str">
        <x:v>tons.</x:v>
      </x:c>
      <x:c r="E1179" s="8" t="n">
        <x:v>4089</x:v>
      </x:c>
      <x:c r="F1179" s="8" t="n">
        <x:v>2861</x:v>
      </x:c>
    </x:row>
    <x:row r="1180" ht="23" customHeight="1">
      <x:c r="A1180" s="2" t="str">
        <x:v>Exports</x:v>
      </x:c>
      <x:c r="B1180" s="2" t="n">
        <x:v>443</x:v>
      </x:c>
      <x:c r="C1180" s="2" t="str">
        <x:v>Rock ----     </x:v>
      </x:c>
      <x:c r="D1180" s="2" t="str">
        <x:v>"</x:v>
      </x:c>
      <x:c r="E1180" s="8" t="n">
        <x:v>19008</x:v>
      </x:c>
      <x:c r="F1180" s="8" t="n">
        <x:v>5544</x:v>
      </x:c>
    </x:row>
    <x:row r="1181" ht="23" customHeight="1">
      <x:c r="A1181" s="2" t="str">
        <x:v>Exports</x:v>
      </x:c>
      <x:c r="B1181" s="2" t="n">
        <x:v>444</x:v>
      </x:c>
      <x:c r="C1181" s="2" t="str">
        <x:v>     </x:v>
      </x:c>
      <x:c r="D1181" s="2"/>
      <x:c r="E1181" s="8"/>
      <x:c r="F1181" s="8"/>
    </x:row>
    <x:row r="1182" ht="23" customHeight="1">
      <x:c r="A1182" s="2" t="str">
        <x:v>Exports</x:v>
      </x:c>
      <x:c r="B1182" s="2" t="n">
        <x:v>445</x:v>
      </x:c>
      <x:c r="C1182" s="2" t="str">
        <x:v>     </x:v>
      </x:c>
      <x:c r="D1182" s="2"/>
      <x:c r="E1182" s="8"/>
      <x:c r="F1182" s="8"/>
    </x:row>
    <x:row r="1183" ht="23" customHeight="1">
      <x:c r="A1183" s="2" t="str">
        <x:v>Exports</x:v>
      </x:c>
      <x:c r="B1183" s="2" t="n">
        <x:v>446</x:v>
      </x:c>
      <x:c r="C1183" s="2" t="str">
        <x:v>     </x:v>
      </x:c>
      <x:c r="D1183" s="2"/>
      <x:c r="E1183" s="8"/>
      <x:c r="F1183" s="8"/>
    </x:row>
    <x:row r="1184" ht="23" customHeight="1">
      <x:c r="A1184" s="2" t="str">
        <x:v>Exports</x:v>
      </x:c>
      <x:c r="B1184" s="2" t="n">
        <x:v>447</x:v>
      </x:c>
      <x:c r="C1184" s="2" t="str">
        <x:v>144. SAND ----     </x:v>
      </x:c>
      <x:c r="D1184" s="2" t="str">
        <x:v>"</x:v>
      </x:c>
      <x:c r="E1184" s="8" t="n">
        <x:v>6218</x:v>
      </x:c>
      <x:c r="F1184" s="8" t="n">
        <x:v>259</x:v>
      </x:c>
    </x:row>
    <x:row r="1185" ht="23" customHeight="1">
      <x:c r="A1185" s="2" t="str">
        <x:v>Exports</x:v>
      </x:c>
      <x:c r="B1185" s="2" t="n">
        <x:v>448</x:v>
      </x:c>
      <x:c r="C1185" s="2" t="str">
        <x:v>"    , Moulding ----     </x:v>
      </x:c>
      <x:c r="D1185" s="2" t="str">
        <x:v>"</x:v>
      </x:c>
      <x:c r="E1185" s="8" t="n">
        <x:v>10705</x:v>
      </x:c>
      <x:c r="F1185" s="8" t="n">
        <x:v>803</x:v>
      </x:c>
    </x:row>
    <x:row r="1186" ht="23" customHeight="1">
      <x:c r="A1186" s="2" t="str">
        <x:v>Exports</x:v>
      </x:c>
      <x:c r="B1186" s="2" t="n">
        <x:v>449</x:v>
      </x:c>
      <x:c r="C1186" s="2" t="str">
        <x:v>     </x:v>
      </x:c>
      <x:c r="D1186" s="2"/>
      <x:c r="E1186" s="8"/>
      <x:c r="F1186" s="8"/>
    </x:row>
    <x:row r="1187" ht="23" customHeight="1">
      <x:c r="A1187" s="2" t="str">
        <x:v>Exports</x:v>
      </x:c>
      <x:c r="B1187" s="2" t="n">
        <x:v>450</x:v>
      </x:c>
      <x:c r="C1187" s="2" t="str">
        <x:v>     </x:v>
      </x:c>
      <x:c r="D1187" s="2"/>
      <x:c r="E1187" s="8"/>
      <x:c r="F1187" s="8"/>
    </x:row>
    <x:row r="1188" ht="23" customHeight="1">
      <x:c r="A1188" s="2" t="str">
        <x:v>Exports</x:v>
      </x:c>
      <x:c r="B1188" s="2" t="n">
        <x:v>451</x:v>
      </x:c>
      <x:c r="C1188" s="2" t="str">
        <x:v>     </x:v>
      </x:c>
      <x:c r="D1188" s="2"/>
      <x:c r="E1188" s="8"/>
      <x:c r="F1188" s="8"/>
    </x:row>
    <x:row r="1189" ht="23" customHeight="1">
      <x:c r="A1189" s="2" t="str">
        <x:v>Exports</x:v>
      </x:c>
      <x:c r="B1189" s="2" t="n">
        <x:v>452</x:v>
      </x:c>
      <x:c r="C1189" s="2" t="str">
        <x:v>145. SEAWEED ----     </x:v>
      </x:c>
      <x:c r="D1189" s="2" t="str">
        <x:v>cwts.</x:v>
      </x:c>
      <x:c r="E1189" s="8" t="n">
        <x:v>2048</x:v>
      </x:c>
      <x:c r="F1189" s="8" t="n">
        <x:v>102</x:v>
      </x:c>
    </x:row>
    <x:row r="1190" ht="23" customHeight="1">
      <x:c r="A1190" s="2" t="str">
        <x:v>Exports</x:v>
      </x:c>
      <x:c r="B1190" s="2" t="n">
        <x:v>453</x:v>
      </x:c>
      <x:c r="C1190" s="2" t="str">
        <x:v>"         , Kelp ----     </x:v>
      </x:c>
      <x:c r="D1190" s="2" t="str">
        <x:v>value</x:v>
      </x:c>
      <x:c r="E1190" s="8" t="str">
        <x:v>-</x:v>
      </x:c>
      <x:c r="F1190" s="8" t="n">
        <x:v>50000</x:v>
      </x:c>
    </x:row>
    <x:row r="1191" ht="23" customHeight="1">
      <x:c r="A1191" s="2" t="str">
        <x:v>Exports</x:v>
      </x:c>
      <x:c r="B1191" s="2" t="n">
        <x:v>454</x:v>
      </x:c>
      <x:c r="C1191" s="2" t="str">
        <x:v>     </x:v>
      </x:c>
      <x:c r="D1191" s="2"/>
      <x:c r="E1191" s="8"/>
      <x:c r="F1191" s="8"/>
    </x:row>
    <x:row r="1192" ht="23" customHeight="1">
      <x:c r="A1192" s="2" t="str">
        <x:v>Exports</x:v>
      </x:c>
      <x:c r="B1192" s="2" t="n">
        <x:v>455</x:v>
      </x:c>
      <x:c r="C1192" s="2" t="str">
        <x:v>     </x:v>
      </x:c>
      <x:c r="D1192" s="2"/>
      <x:c r="E1192" s="8"/>
      <x:c r="F1192" s="8"/>
    </x:row>
    <x:row r="1193" ht="23" customHeight="1">
      <x:c r="A1193" s="2" t="str">
        <x:v>Exports</x:v>
      </x:c>
      <x:c r="B1193" s="2" t="n">
        <x:v>456</x:v>
      </x:c>
      <x:c r="C1193" s="2" t="str">
        <x:v>     </x:v>
      </x:c>
      <x:c r="D1193" s="2"/>
      <x:c r="E1193" s="8"/>
      <x:c r="F1193" s="8"/>
    </x:row>
    <x:row r="1194" ht="23" customHeight="1">
      <x:c r="A1194" s="2" t="str">
        <x:v>Exports</x:v>
      </x:c>
      <x:c r="B1194" s="2" t="n">
        <x:v>457</x:v>
      </x:c>
      <x:c r="C1194" s="2" t="str">
        <x:v>146. SEEDS -     </x:v>
      </x:c>
      <x:c r="D1194" s="2"/>
      <x:c r="E1194" s="8"/>
      <x:c r="F1194" s="8"/>
    </x:row>
    <x:row r="1195" ht="23" customHeight="1">
      <x:c r="A1195" s="2" t="str">
        <x:v>Exports</x:v>
      </x:c>
      <x:c r="B1195" s="2" t="n">
        <x:v>458</x:v>
      </x:c>
      <x:c r="C1195" s="2" t="str">
        <x:v>Clover and Grass Seed ----     </x:v>
      </x:c>
      <x:c r="D1195" s="2" t="str">
        <x:v>cwts.</x:v>
      </x:c>
      <x:c r="E1195" s="8" t="n">
        <x:v>376090</x:v>
      </x:c>
      <x:c r="F1195" s="8" t="n">
        <x:v>169241</x:v>
      </x:c>
    </x:row>
    <x:row r="1196" ht="23" customHeight="1">
      <x:c r="A1196" s="2" t="str">
        <x:v>Exports</x:v>
      </x:c>
      <x:c r="B1196" s="2" t="n">
        <x:v>459</x:v>
      </x:c>
      <x:c r="C1196" s="2" t="str">
        <x:v>Seeds - unclassified ----     </x:v>
      </x:c>
      <x:c r="D1196" s="2" t="str">
        <x:v>"</x:v>
      </x:c>
      <x:c r="E1196" s="8" t="n">
        <x:v>17394</x:v>
      </x:c>
      <x:c r="F1196" s="8" t="n">
        <x:v>11836</x:v>
      </x:c>
    </x:row>
    <x:row r="1197" ht="23" customHeight="1">
      <x:c r="A1197" s="2" t="str">
        <x:v>Exports</x:v>
      </x:c>
      <x:c r="B1197" s="2" t="n">
        <x:v>460</x:v>
      </x:c>
      <x:c r="C1197" s="2" t="str">
        <x:v>     </x:v>
      </x:c>
      <x:c r="D1197" s="2"/>
      <x:c r="E1197" s="8"/>
      <x:c r="F1197" s="8"/>
    </x:row>
    <x:row r="1198" ht="23" customHeight="1">
      <x:c r="A1198" s="2" t="str">
        <x:v>Exports</x:v>
      </x:c>
      <x:c r="B1198" s="2" t="n">
        <x:v>461</x:v>
      </x:c>
      <x:c r="C1198" s="2" t="str">
        <x:v>     </x:v>
      </x:c>
      <x:c r="D1198" s="2"/>
      <x:c r="E1198" s="8"/>
      <x:c r="F1198" s="8"/>
    </x:row>
    <x:row r="1199" ht="23" customHeight="1">
      <x:c r="A1199" s="2" t="str">
        <x:v>Exports</x:v>
      </x:c>
      <x:c r="B1199" s="2" t="n">
        <x:v>462</x:v>
      </x:c>
      <x:c r="C1199" s="2" t="str">
        <x:v>     </x:v>
      </x:c>
      <x:c r="D1199" s="2"/>
      <x:c r="E1199" s="8"/>
      <x:c r="F1199" s="8"/>
    </x:row>
    <x:row r="1200" ht="23" customHeight="1">
      <x:c r="A1200" s="2" t="str">
        <x:v>Exports</x:v>
      </x:c>
      <x:c r="B1200" s="2" t="n">
        <x:v>463</x:v>
      </x:c>
      <x:c r="C1200" s="2" t="str">
        <x:v>147. SHIPS and STEAM VESSELS ----     </x:v>
      </x:c>
      <x:c r="D1200" s="2" t="str">
        <x:v>No.</x:v>
      </x:c>
      <x:c r="E1200" s="8" t="n">
        <x:v>18</x:v>
      </x:c>
      <x:c r="F1200" s="8"/>
    </x:row>
    <x:row r="1201" ht="23" customHeight="1">
      <x:c r="A1201" s="2" t="str">
        <x:v>Exports</x:v>
      </x:c>
      <x:c r="B1201" s="2" t="n">
        <x:v>464</x:v>
      </x:c>
      <x:c r="C1201" s="2" t="str">
        <x:v>Steam Vessels ----     </x:v>
      </x:c>
      <x:c r="D1201" s="2" t="str">
        <x:v>gr.ton.</x:v>
      </x:c>
      <x:c r="E1201" s="8" t="n">
        <x:v>76114</x:v>
      </x:c>
      <x:c r="F1201" s="8" t="n">
        <x:v>1500000</x:v>
      </x:c>
    </x:row>
    <x:row r="1202" ht="23" customHeight="1">
      <x:c r="A1202" s="2" t="str">
        <x:v>Exports</x:v>
      </x:c>
      <x:c r="B1202" s="2" t="n">
        <x:v>465</x:v>
      </x:c>
      <x:c r="C1202" s="2" t="str">
        <x:v>     </x:v>
      </x:c>
      <x:c r="D1202" s="2"/>
      <x:c r="E1202" s="8"/>
      <x:c r="F1202" s="8"/>
    </x:row>
    <x:row r="1203" ht="23" customHeight="1">
      <x:c r="A1203" s="2" t="str">
        <x:v>Exports</x:v>
      </x:c>
      <x:c r="B1203" s="2" t="n">
        <x:v>466</x:v>
      </x:c>
      <x:c r="C1203" s="2" t="str">
        <x:v>     </x:v>
      </x:c>
      <x:c r="D1203" s="2"/>
      <x:c r="E1203" s="8"/>
      <x:c r="F1203" s="8"/>
    </x:row>
    <x:row r="1204" ht="23" customHeight="1">
      <x:c r="A1204" s="2" t="str">
        <x:v>Exports</x:v>
      </x:c>
      <x:c r="B1204" s="2" t="n">
        <x:v>467</x:v>
      </x:c>
      <x:c r="C1204" s="2" t="str">
        <x:v>     </x:v>
      </x:c>
      <x:c r="D1204" s="2"/>
      <x:c r="E1204" s="8"/>
      <x:c r="F1204" s="8"/>
    </x:row>
    <x:row r="1205" ht="23" customHeight="1">
      <x:c r="A1205" s="2" t="str">
        <x:v>Exports</x:v>
      </x:c>
      <x:c r="B1205" s="2" t="n">
        <x:v>468</x:v>
      </x:c>
      <x:c r="C1205" s="2" t="str">
        <x:v>148. SOAP ----     </x:v>
      </x:c>
      <x:c r="D1205" s="2" t="str">
        <x:v>cwts.</x:v>
      </x:c>
      <x:c r="E1205" s="8" t="n">
        <x:v>38623</x:v>
      </x:c>
      <x:c r="F1205" s="8" t="n">
        <x:v>42485</x:v>
      </x:c>
    </x:row>
    <x:row r="1206" ht="23" customHeight="1">
      <x:c r="A1206" s="2" t="str">
        <x:v>Exports</x:v>
      </x:c>
      <x:c r="B1206" s="2" t="n">
        <x:v>469</x:v>
      </x:c>
      <x:c r="C1206" s="2" t="str">
        <x:v>     </x:v>
      </x:c>
      <x:c r="D1206" s="2"/>
      <x:c r="E1206" s="8"/>
      <x:c r="F1206" s="8"/>
    </x:row>
    <x:row r="1207" ht="23" customHeight="1">
      <x:c r="A1207" s="2" t="str">
        <x:v>Exports</x:v>
      </x:c>
      <x:c r="B1207" s="2" t="n">
        <x:v>470</x:v>
      </x:c>
      <x:c r="C1207" s="2" t="str">
        <x:v>     </x:v>
      </x:c>
      <x:c r="D1207" s="2"/>
      <x:c r="E1207" s="8"/>
      <x:c r="F1207" s="8"/>
    </x:row>
    <x:row r="1208" ht="23" customHeight="1">
      <x:c r="A1208" s="2" t="str">
        <x:v>Exports</x:v>
      </x:c>
      <x:c r="B1208" s="2" t="n">
        <x:v>471</x:v>
      </x:c>
      <x:c r="C1208" s="2" t="str">
        <x:v>     </x:v>
      </x:c>
      <x:c r="D1208" s="2"/>
      <x:c r="E1208" s="8"/>
      <x:c r="F1208" s="8"/>
    </x:row>
    <x:row r="1209" ht="23" customHeight="1">
      <x:c r="A1209" s="2" t="str">
        <x:v>Exports</x:v>
      </x:c>
      <x:c r="B1209" s="2" t="n">
        <x:v>472</x:v>
      </x:c>
      <x:c r="C1209" s="2" t="str">
        <x:v>149. SPICES ----     </x:v>
      </x:c>
      <x:c r="D1209" s="2" t="str">
        <x:v>lbs.</x:v>
      </x:c>
      <x:c r="E1209" s="8" t="n">
        <x:v>15232</x:v>
      </x:c>
      <x:c r="F1209" s="8" t="n">
        <x:v>408</x:v>
      </x:c>
    </x:row>
    <x:row r="1210" ht="23" customHeight="1">
      <x:c r="A1210" s="2" t="str">
        <x:v>Exports</x:v>
      </x:c>
      <x:c r="B1210" s="2" t="n">
        <x:v>473</x:v>
      </x:c>
      <x:c r="C1210" s="2" t="str">
        <x:v>     </x:v>
      </x:c>
      <x:c r="D1210" s="2"/>
      <x:c r="E1210" s="8"/>
      <x:c r="F1210" s="8"/>
    </x:row>
    <x:row r="1211" ht="23" customHeight="1">
      <x:c r="A1211" s="2" t="str">
        <x:v>Exports</x:v>
      </x:c>
      <x:c r="B1211" s="2" t="n">
        <x:v>474</x:v>
      </x:c>
      <x:c r="C1211" s="2" t="str">
        <x:v>     </x:v>
      </x:c>
      <x:c r="D1211" s="2"/>
      <x:c r="E1211" s="8"/>
      <x:c r="F1211" s="8"/>
    </x:row>
    <x:row r="1212" ht="23" customHeight="1">
      <x:c r="A1212" s="2" t="str">
        <x:v>Exports</x:v>
      </x:c>
      <x:c r="B1212" s="2" t="n">
        <x:v>475</x:v>
      </x:c>
      <x:c r="C1212" s="2" t="str">
        <x:v>     </x:v>
      </x:c>
      <x:c r="D1212" s="2"/>
      <x:c r="E1212" s="8"/>
      <x:c r="F1212" s="8"/>
    </x:row>
    <x:row r="1213" ht="23" customHeight="1">
      <x:c r="A1213" s="2" t="str">
        <x:v>Exports</x:v>
      </x:c>
      <x:c r="B1213" s="2" t="n">
        <x:v>476</x:v>
      </x:c>
      <x:c r="C1213" s="2" t="str">
        <x:v>150.SPONGES ----     </x:v>
      </x:c>
      <x:c r="D1213" s="2" t="str">
        <x:v>lbs.</x:v>
      </x:c>
      <x:c r="E1213" s="8" t="n">
        <x:v>13552</x:v>
      </x:c>
      <x:c r="F1213" s="8" t="n">
        <x:v>2372</x:v>
      </x:c>
    </x:row>
    <x:row r="1214" ht="23" customHeight="1">
      <x:c r="A1214" s="2" t="str">
        <x:v>Exports</x:v>
      </x:c>
      <x:c r="B1214" s="2" t="n">
        <x:v>477</x:v>
      </x:c>
      <x:c r="C1214" s="2" t="str">
        <x:v>     </x:v>
      </x:c>
      <x:c r="D1214" s="2"/>
      <x:c r="E1214" s="8"/>
      <x:c r="F1214" s="8"/>
    </x:row>
    <x:row r="1215" ht="23" customHeight="1">
      <x:c r="A1215" s="2" t="str">
        <x:v>Exports</x:v>
      </x:c>
      <x:c r="B1215" s="2" t="n">
        <x:v>478</x:v>
      </x:c>
      <x:c r="C1215" s="2" t="str">
        <x:v>     </x:v>
      </x:c>
      <x:c r="D1215" s="2"/>
      <x:c r="E1215" s="8"/>
      <x:c r="F1215" s="8"/>
    </x:row>
    <x:row r="1216" ht="23" customHeight="1">
      <x:c r="A1216" s="2" t="str">
        <x:v>Exports</x:v>
      </x:c>
      <x:c r="B1216" s="2" t="n">
        <x:v>479</x:v>
      </x:c>
      <x:c r="C1216" s="2" t="str">
        <x:v>     </x:v>
      </x:c>
      <x:c r="D1216" s="2"/>
      <x:c r="E1216" s="8"/>
      <x:c r="F1216" s="8"/>
    </x:row>
    <x:row r="1217" ht="23" customHeight="1">
      <x:c r="A1217" s="2" t="str">
        <x:v>Exports</x:v>
      </x:c>
      <x:c r="B1217" s="2" t="n">
        <x:v>480</x:v>
      </x:c>
      <x:c r="C1217" s="2" t="str">
        <x:v>151. STARCH ----     </x:v>
      </x:c>
      <x:c r="D1217" s="2" t="str">
        <x:v>cwts.</x:v>
      </x:c>
      <x:c r="E1217" s="8" t="n">
        <x:v>13237</x:v>
      </x:c>
      <x:c r="F1217" s="8" t="n">
        <x:v>11913</x:v>
      </x:c>
    </x:row>
    <x:row r="1218" ht="23" customHeight="1">
      <x:c r="A1218" s="2" t="str">
        <x:v>Exports</x:v>
      </x:c>
      <x:c r="B1218" s="2" t="n">
        <x:v>481</x:v>
      </x:c>
      <x:c r="C1218" s="2" t="str">
        <x:v>     </x:v>
      </x:c>
      <x:c r="D1218" s="2"/>
      <x:c r="E1218" s="8"/>
      <x:c r="F1218" s="8"/>
    </x:row>
    <x:row r="1219" ht="23" customHeight="1">
      <x:c r="A1219" s="2" t="str">
        <x:v>Exports</x:v>
      </x:c>
      <x:c r="B1219" s="2" t="n">
        <x:v>482</x:v>
      </x:c>
      <x:c r="C1219" s="2" t="str">
        <x:v>     </x:v>
      </x:c>
      <x:c r="D1219" s="2"/>
      <x:c r="E1219" s="8"/>
      <x:c r="F1219" s="8"/>
    </x:row>
    <x:row r="1220" ht="23" customHeight="1">
      <x:c r="A1220" s="2" t="str">
        <x:v>Exports</x:v>
      </x:c>
      <x:c r="B1220" s="2" t="n">
        <x:v>483</x:v>
      </x:c>
      <x:c r="C1220" s="2" t="str">
        <x:v>     </x:v>
      </x:c>
      <x:c r="D1220" s="2"/>
      <x:c r="E1220" s="8"/>
      <x:c r="F1220" s="8"/>
    </x:row>
    <x:row r="1221" ht="23" customHeight="1">
      <x:c r="A1221" s="2" t="str">
        <x:v>Exports</x:v>
      </x:c>
      <x:c r="B1221" s="2" t="n">
        <x:v>484</x:v>
      </x:c>
      <x:c r="C1221" s="2" t="str">
        <x:v>152. STONES -     </x:v>
      </x:c>
      <x:c r="D1221" s="2"/>
      <x:c r="E1221" s="8"/>
      <x:c r="F1221" s="8"/>
    </x:row>
    <x:row r="1222" ht="23" customHeight="1">
      <x:c r="A1222" s="2" t="str">
        <x:v>Exports</x:v>
      </x:c>
      <x:c r="B1222" s="2" t="n">
        <x:v>485</x:v>
      </x:c>
      <x:c r="C1222" s="2" t="str">
        <x:v>Stones (Marble,Granite), &amp;c. ----     </x:v>
      </x:c>
      <x:c r="D1222" s="2" t="str">
        <x:v>tons.</x:v>
      </x:c>
      <x:c r="E1222" s="8" t="n">
        <x:v>1164</x:v>
      </x:c>
      <x:c r="F1222" s="8" t="n">
        <x:v>1455</x:v>
      </x:c>
    </x:row>
    <x:row r="1223" ht="23" customHeight="1">
      <x:c r="A1223" s="2" t="str">
        <x:v>Exports</x:v>
      </x:c>
      <x:c r="B1223" s="2" t="n">
        <x:v>486</x:v>
      </x:c>
      <x:c r="C1223" s="2" t="str">
        <x:v>Limestone ----     </x:v>
      </x:c>
      <x:c r="D1223" s="2" t="str">
        <x:v>"</x:v>
      </x:c>
      <x:c r="E1223" s="8" t="n">
        <x:v>3223</x:v>
      </x:c>
      <x:c r="F1223" s="8" t="n">
        <x:v>806</x:v>
      </x:c>
    </x:row>
    <x:row r="1224" ht="23" customHeight="1">
      <x:c r="A1224" s="2" t="str">
        <x:v>Exports</x:v>
      </x:c>
      <x:c r="B1224" s="2" t="n">
        <x:v>487</x:v>
      </x:c>
      <x:c r="C1224" s="2" t="str">
        <x:v>Figures ----     </x:v>
      </x:c>
      <x:c r="D1224" s="2" t="str">
        <x:v>cwts.</x:v>
      </x:c>
      <x:c r="E1224" s="8" t="n">
        <x:v>93</x:v>
      </x:c>
      <x:c r="F1224" s="8" t="n">
        <x:v>837</x:v>
      </x:c>
    </x:row>
    <x:row r="1225" ht="23" customHeight="1">
      <x:c r="A1225" s="2" t="str">
        <x:v>Exports</x:v>
      </x:c>
      <x:c r="B1225" s="2" t="n">
        <x:v>488</x:v>
      </x:c>
      <x:c r="C1225" s="2" t="str">
        <x:v>Setts, Blocks and Curbs ----     </x:v>
      </x:c>
      <x:c r="D1225" s="2" t="str">
        <x:v>tons.</x:v>
      </x:c>
      <x:c r="E1225" s="8" t="n">
        <x:v>15547</x:v>
      </x:c>
      <x:c r="F1225" s="8" t="n">
        <x:v>15547</x:v>
      </x:c>
    </x:row>
    <x:row r="1226" ht="23" customHeight="1">
      <x:c r="A1226" s="2" t="str">
        <x:v>Exports</x:v>
      </x:c>
      <x:c r="B1226" s="2" t="n">
        <x:v>489</x:v>
      </x:c>
      <x:c r="C1226" s="2" t="str">
        <x:v>Flags ----     </x:v>
      </x:c>
      <x:c r="D1226" s="2" t="str">
        <x:v>"</x:v>
      </x:c>
      <x:c r="E1226" s="8" t="n">
        <x:v>183</x:v>
      </x:c>
      <x:c r="F1226" s="8" t="n">
        <x:v>69</x:v>
      </x:c>
    </x:row>
    <x:row r="1227" ht="23" customHeight="1">
      <x:c r="A1227" s="2" t="str">
        <x:v>Exports</x:v>
      </x:c>
      <x:c r="B1227" s="2" t="n">
        <x:v>490</x:v>
      </x:c>
      <x:c r="C1227" s="2" t="str">
        <x:v>Macadam and Gravel ----     </x:v>
      </x:c>
      <x:c r="D1227" s="2" t="str">
        <x:v>"</x:v>
      </x:c>
      <x:c r="E1227" s="8" t="n">
        <x:v>6435</x:v>
      </x:c>
      <x:c r="F1227" s="8" t="n">
        <x:v>965</x:v>
      </x:c>
    </x:row>
    <x:row r="1228" ht="23" customHeight="1">
      <x:c r="A1228" s="2" t="str">
        <x:v>Exports</x:v>
      </x:c>
      <x:c r="B1228" s="2" t="n">
        <x:v>491</x:v>
      </x:c>
      <x:c r="C1228" s="2" t="str">
        <x:v>Slates ----     </x:v>
      </x:c>
      <x:c r="D1228" s="2" t="str">
        <x:v>"</x:v>
      </x:c>
      <x:c r="E1228" s="8" t="n">
        <x:v>28</x:v>
      </x:c>
      <x:c r="F1228" s="8" t="n">
        <x:v>196</x:v>
      </x:c>
    </x:row>
    <x:row r="1229" ht="23" customHeight="1">
      <x:c r="A1229" s="2" t="str">
        <x:v>Exports</x:v>
      </x:c>
      <x:c r="B1229" s="2" t="n">
        <x:v>492</x:v>
      </x:c>
      <x:c r="C1229" s="2" t="str">
        <x:v>Bauxite ----     </x:v>
      </x:c>
      <x:c r="D1229" s="2" t="str">
        <x:v>cwts.</x:v>
      </x:c>
      <x:c r="E1229" s="8" t="n">
        <x:v>200220</x:v>
      </x:c>
      <x:c r="F1229" s="8" t="n">
        <x:v>6007</x:v>
      </x:c>
    </x:row>
    <x:row r="1230" ht="23" customHeight="1">
      <x:c r="A1230" s="2" t="str">
        <x:v>Exports</x:v>
      </x:c>
      <x:c r="B1230" s="2" t="n">
        <x:v>493</x:v>
      </x:c>
      <x:c r="C1230" s="2" t="str">
        <x:v>Chalk and Whiting ----     </x:v>
      </x:c>
      <x:c r="D1230" s="2" t="str">
        <x:v>"</x:v>
      </x:c>
      <x:c r="E1230" s="8" t="n">
        <x:v>984</x:v>
      </x:c>
      <x:c r="F1230" s="8" t="n">
        <x:v>25</x:v>
      </x:c>
    </x:row>
    <x:row r="1231" ht="23" customHeight="1">
      <x:c r="A1231" s="2" t="str">
        <x:v>Exports</x:v>
      </x:c>
      <x:c r="B1231" s="2" t="n">
        <x:v>494</x:v>
      </x:c>
      <x:c r="C1231" s="2" t="str">
        <x:v>     </x:v>
      </x:c>
      <x:c r="D1231" s="2"/>
      <x:c r="E1231" s="8"/>
      <x:c r="F1231" s="8"/>
    </x:row>
    <x:row r="1232" ht="23" customHeight="1">
      <x:c r="A1232" s="2" t="str">
        <x:v>Exports</x:v>
      </x:c>
      <x:c r="B1232" s="2" t="n">
        <x:v>495</x:v>
      </x:c>
      <x:c r="C1232" s="2" t="str">
        <x:v>     </x:v>
      </x:c>
      <x:c r="D1232" s="2"/>
      <x:c r="E1232" s="8"/>
      <x:c r="F1232" s="8"/>
    </x:row>
    <x:row r="1233" ht="23" customHeight="1">
      <x:c r="A1233" s="2" t="str">
        <x:v>Exports</x:v>
      </x:c>
      <x:c r="B1233" s="2" t="n">
        <x:v>496</x:v>
      </x:c>
      <x:c r="C1233" s="2" t="str">
        <x:v>     </x:v>
      </x:c>
      <x:c r="D1233" s="2"/>
      <x:c r="E1233" s="8"/>
      <x:c r="F1233" s="8"/>
    </x:row>
    <x:row r="1234" ht="23" customHeight="1">
      <x:c r="A1234" s="2" t="str">
        <x:v>Exports</x:v>
      </x:c>
      <x:c r="B1234" s="2" t="n">
        <x:v>497</x:v>
      </x:c>
      <x:c r="C1234" s="2" t="str">
        <x:v>153. SUGAR and MANUFACTURES THEREOF -     </x:v>
      </x:c>
      <x:c r="D1234" s="2"/>
      <x:c r="E1234" s="8"/>
      <x:c r="F1234" s="8"/>
    </x:row>
    <x:row r="1235" ht="23" customHeight="1">
      <x:c r="A1235" s="2" t="str">
        <x:v>Exports</x:v>
      </x:c>
      <x:c r="B1235" s="2" t="n">
        <x:v>498</x:v>
      </x:c>
      <x:c r="C1235" s="2" t="str">
        <x:v>Sugar ----     </x:v>
      </x:c>
      <x:c r="D1235" s="2" t="str">
        <x:v>"</x:v>
      </x:c>
      <x:c r="E1235" s="8" t="n">
        <x:v>3911</x:v>
      </x:c>
      <x:c r="F1235" s="8" t="n">
        <x:v>2347</x:v>
      </x:c>
    </x:row>
    <x:row r="1236" ht="23" customHeight="1">
      <x:c r="A1236" s="2" t="str">
        <x:v>Exports</x:v>
      </x:c>
      <x:c r="B1236" s="2" t="n">
        <x:v>499</x:v>
      </x:c>
      <x:c r="C1236" s="2" t="str">
        <x:v>Confectionery ----     </x:v>
      </x:c>
      <x:c r="D1236" s="2" t="str">
        <x:v>"</x:v>
      </x:c>
      <x:c r="E1236" s="8" t="n">
        <x:v>40122</x:v>
      </x:c>
      <x:c r="F1236" s="8" t="n">
        <x:v>80244</x:v>
      </x:c>
    </x:row>
    <x:row r="1237" ht="23" customHeight="1">
      <x:c r="A1237" s="2" t="str">
        <x:v>Exports</x:v>
      </x:c>
      <x:c r="B1237" s="2" t="n">
        <x:v>500</x:v>
      </x:c>
      <x:c r="C1237" s="2" t="str">
        <x:v>Syrup and Treacle ----     </x:v>
      </x:c>
      <x:c r="D1237" s="2" t="str">
        <x:v>"</x:v>
      </x:c>
      <x:c r="E1237" s="8" t="n">
        <x:v>1765</x:v>
      </x:c>
      <x:c r="F1237" s="8" t="n">
        <x:v>1324</x:v>
      </x:c>
    </x:row>
    <x:row r="1238" ht="23" customHeight="1">
      <x:c r="A1238" s="2" t="str">
        <x:v>Exports</x:v>
      </x:c>
      <x:c r="B1238" s="2" t="n">
        <x:v>501</x:v>
      </x:c>
      <x:c r="C1238" s="2" t="str">
        <x:v>     </x:v>
      </x:c>
      <x:c r="D1238" s="2"/>
      <x:c r="E1238" s="8"/>
      <x:c r="F1238" s="8"/>
    </x:row>
    <x:row r="1239" ht="23" customHeight="1">
      <x:c r="A1239" s="2" t="str">
        <x:v>Exports</x:v>
      </x:c>
      <x:c r="B1239" s="2" t="n">
        <x:v>502</x:v>
      </x:c>
      <x:c r="C1239" s="2" t="str">
        <x:v>     </x:v>
      </x:c>
      <x:c r="D1239" s="2"/>
      <x:c r="E1239" s="8"/>
      <x:c r="F1239" s="8"/>
    </x:row>
    <x:row r="1240" ht="23" customHeight="1">
      <x:c r="A1240" s="2" t="str">
        <x:v>Exports</x:v>
      </x:c>
      <x:c r="B1240" s="2" t="n">
        <x:v>503</x:v>
      </x:c>
      <x:c r="C1240" s="2" t="str">
        <x:v>     </x:v>
      </x:c>
      <x:c r="D1240" s="2"/>
      <x:c r="E1240" s="8"/>
      <x:c r="F1240" s="8"/>
    </x:row>
    <x:row r="1241" ht="23" customHeight="1">
      <x:c r="A1241" s="2" t="str">
        <x:v>Exports</x:v>
      </x:c>
      <x:c r="B1241" s="2" t="n">
        <x:v>504</x:v>
      </x:c>
      <x:c r="C1241" s="2" t="str">
        <x:v>154. TAR and PITCH ----     </x:v>
      </x:c>
      <x:c r="D1241" s="2" t="str">
        <x:v>"</x:v>
      </x:c>
      <x:c r="E1241" s="8" t="n">
        <x:v>139326</x:v>
      </x:c>
      <x:c r="F1241" s="8" t="n">
        <x:v>42122</x:v>
      </x:c>
    </x:row>
    <x:row r="1242" ht="23" customHeight="1">
      <x:c r="A1242" s="2" t="str">
        <x:v>Exports</x:v>
      </x:c>
      <x:c r="B1242" s="2" t="n">
        <x:v>505</x:v>
      </x:c>
      <x:c r="C1242" s="2" t="str">
        <x:v>     </x:v>
      </x:c>
      <x:c r="D1242" s="2"/>
      <x:c r="E1242" s="8"/>
      <x:c r="F1242" s="8"/>
    </x:row>
    <x:row r="1243" ht="23" customHeight="1">
      <x:c r="A1243" s="2" t="str">
        <x:v>Exports</x:v>
      </x:c>
      <x:c r="B1243" s="2" t="n">
        <x:v>506</x:v>
      </x:c>
      <x:c r="C1243" s="2" t="str">
        <x:v>     </x:v>
      </x:c>
      <x:c r="D1243" s="2"/>
      <x:c r="E1243" s="8"/>
      <x:c r="F1243" s="8"/>
    </x:row>
    <x:row r="1244" ht="23" customHeight="1">
      <x:c r="A1244" s="2" t="str">
        <x:v>Exports</x:v>
      </x:c>
      <x:c r="B1244" s="2" t="n">
        <x:v>507</x:v>
      </x:c>
      <x:c r="C1244" s="2" t="str">
        <x:v>     </x:v>
      </x:c>
      <x:c r="D1244" s="2"/>
      <x:c r="E1244" s="8"/>
      <x:c r="F1244" s="8"/>
    </x:row>
    <x:row r="1245" ht="23" customHeight="1">
      <x:c r="A1245" s="2" t="str">
        <x:v>Exports</x:v>
      </x:c>
      <x:c r="B1245" s="2" t="n">
        <x:v>508</x:v>
      </x:c>
      <x:c r="C1245" s="2" t="str">
        <x:v>155. TEA ----     </x:v>
      </x:c>
      <x:c r="D1245" s="2" t="str">
        <x:v>lbs.</x:v>
      </x:c>
      <x:c r="E1245" s="8" t="n">
        <x:v>281456</x:v>
      </x:c>
      <x:c r="F1245" s="8" t="n">
        <x:v>10043</x:v>
      </x:c>
    </x:row>
    <x:row r="1246" ht="23" customHeight="1">
      <x:c r="A1246" s="2" t="str">
        <x:v>Exports</x:v>
      </x:c>
      <x:c r="B1246" s="2" t="n">
        <x:v>509</x:v>
      </x:c>
      <x:c r="C1246" s="2" t="str">
        <x:v>     </x:v>
      </x:c>
      <x:c r="D1246" s="2"/>
      <x:c r="E1246" s="8"/>
      <x:c r="F1246" s="8"/>
    </x:row>
    <x:row r="1247" ht="23" customHeight="1">
      <x:c r="A1247" s="2" t="str">
        <x:v>Exports</x:v>
      </x:c>
      <x:c r="B1247" s="2" t="n">
        <x:v>510</x:v>
      </x:c>
      <x:c r="C1247" s="2" t="str">
        <x:v>     </x:v>
      </x:c>
      <x:c r="D1247" s="2"/>
      <x:c r="E1247" s="8"/>
      <x:c r="F1247" s="8"/>
    </x:row>
    <x:row r="1248" ht="23" customHeight="1">
      <x:c r="A1248" s="2" t="str">
        <x:v>Exports</x:v>
      </x:c>
      <x:c r="B1248" s="2" t="n">
        <x:v>511</x:v>
      </x:c>
      <x:c r="C1248" s="2" t="str">
        <x:v>     </x:v>
      </x:c>
      <x:c r="D1248" s="2"/>
      <x:c r="E1248" s="8"/>
      <x:c r="F1248" s="8"/>
    </x:row>
    <x:row r="1249" ht="23" customHeight="1">
      <x:c r="A1249" s="2" t="str">
        <x:v>Exports</x:v>
      </x:c>
      <x:c r="B1249" s="2" t="n">
        <x:v>512</x:v>
      </x:c>
      <x:c r="C1249" s="2" t="str">
        <x:v>156. TEXTILES AND TEXTILE MATERIALS -     </x:v>
      </x:c>
      <x:c r="D1249" s="2"/>
      <x:c r="E1249" s="8"/>
      <x:c r="F1249" s="8"/>
    </x:row>
    <x:row r="1250" ht="23" customHeight="1">
      <x:c r="A1250" s="2" t="str">
        <x:v>Exports</x:v>
      </x:c>
      <x:c r="B1250" s="2" t="n">
        <x:v>513</x:v>
      </x:c>
      <x:c r="C1250" s="2" t="str">
        <x:v>Cotton Raw ----     </x:v>
      </x:c>
      <x:c r="D1250" s="2" t="str">
        <x:v>cwts.</x:v>
      </x:c>
      <x:c r="E1250" s="8" t="n">
        <x:v>412040</x:v>
      </x:c>
      <x:c r="F1250" s="8" t="n">
        <x:v>1297926</x:v>
      </x:c>
    </x:row>
    <x:row r="1251" ht="23" customHeight="1">
      <x:c r="A1251" s="2" t="str">
        <x:v>Exports</x:v>
      </x:c>
      <x:c r="B1251" s="2" t="n">
        <x:v>514</x:v>
      </x:c>
      <x:c r="C1251" s="2" t="str">
        <x:v>Cotton Yarn ----     </x:v>
      </x:c>
      <x:c r="D1251" s="2" t="str">
        <x:v>lbs.</x:v>
      </x:c>
      <x:c r="E1251" s="8" t="n">
        <x:v>741144</x:v>
      </x:c>
      <x:c r="F1251" s="8" t="n">
        <x:v>33969</x:v>
      </x:c>
    </x:row>
    <x:row r="1252" ht="23" customHeight="1">
      <x:c r="A1252" s="2" t="str">
        <x:v>Exports</x:v>
      </x:c>
      <x:c r="B1252" s="2" t="n">
        <x:v>515</x:v>
      </x:c>
      <x:c r="C1252" s="2" t="str">
        <x:v>Cotton Goods ----     </x:v>
      </x:c>
      <x:c r="D1252" s="2" t="str">
        <x:v>cwts.</x:v>
      </x:c>
      <x:c r="E1252" s="8" t="n">
        <x:v>188686</x:v>
      </x:c>
      <x:c r="F1252" s="8" t="n">
        <x:v>1320802</x:v>
      </x:c>
    </x:row>
    <x:row r="1253" ht="23" customHeight="1">
      <x:c r="A1253" s="2" t="str">
        <x:v>Exports</x:v>
      </x:c>
      <x:c r="B1253" s="2" t="n">
        <x:v>516</x:v>
      </x:c>
      <x:c r="C1253" s="2" t="str">
        <x:v>Flax ----     </x:v>
      </x:c>
      <x:c r="D1253" s="2" t="str">
        <x:v>tons.</x:v>
      </x:c>
      <x:c r="E1253" s="8" t="n">
        <x:v>2641</x:v>
      </x:c>
      <x:c r="F1253" s="8" t="n">
        <x:v>132050</x:v>
      </x:c>
    </x:row>
    <x:row r="1254" ht="23" customHeight="1">
      <x:c r="A1254" s="2" t="str">
        <x:v>Exports</x:v>
      </x:c>
      <x:c r="B1254" s="2" t="n">
        <x:v>517</x:v>
      </x:c>
      <x:c r="C1254" s="2" t="str">
        <x:v>Linen Yarn ----     </x:v>
      </x:c>
      <x:c r="D1254" s="2" t="str">
        <x:v>lbs.</x:v>
      </x:c>
      <x:c r="E1254" s="8" t="n">
        <x:v>20163700</x:v>
      </x:c>
      <x:c r="F1254" s="8" t="n">
        <x:v>1232356</x:v>
      </x:c>
    </x:row>
    <x:row r="1255" ht="23" customHeight="1">
      <x:c r="A1255" s="2" t="str">
        <x:v>Exports</x:v>
      </x:c>
      <x:c r="B1255" s="2" t="n">
        <x:v>518</x:v>
      </x:c>
      <x:c r="C1255" s="2" t="str">
        <x:v>Linen Goods ----     </x:v>
      </x:c>
      <x:c r="D1255" s="2" t="str">
        <x:v>cwts.</x:v>
      </x:c>
      <x:c r="E1255" s="8" t="n">
        <x:v>972924</x:v>
      </x:c>
      <x:c r="F1255" s="8" t="n">
        <x:v>7296930</x:v>
      </x:c>
    </x:row>
    <x:row r="1256" ht="23" customHeight="1">
      <x:c r="A1256" s="2" t="str">
        <x:v>Exports</x:v>
      </x:c>
      <x:c r="B1256" s="2" t="n">
        <x:v>519</x:v>
      </x:c>
      <x:c r="C1256" s="2" t="str">
        <x:v>Jute  ----     </x:v>
      </x:c>
      <x:c r="D1256" s="2" t="str">
        <x:v>tons.</x:v>
      </x:c>
      <x:c r="E1256" s="8" t="n">
        <x:v>10</x:v>
      </x:c>
      <x:c r="F1256" s="8" t="n">
        <x:v>140</x:v>
      </x:c>
    </x:row>
    <x:row r="1257" ht="23" customHeight="1">
      <x:c r="A1257" s="2" t="str">
        <x:v>Exports</x:v>
      </x:c>
      <x:c r="B1257" s="2" t="n">
        <x:v>520</x:v>
      </x:c>
      <x:c r="C1257" s="2" t="str">
        <x:v>Jute Yarn ----     </x:v>
      </x:c>
      <x:c r="D1257" s="2" t="str">
        <x:v>lbs.</x:v>
      </x:c>
      <x:c r="E1257" s="8" t="n">
        <x:v>1224272</x:v>
      </x:c>
      <x:c r="F1257" s="8" t="n">
        <x:v>20405</x:v>
      </x:c>
    </x:row>
    <x:row r="1258" ht="23" customHeight="1">
      <x:c r="A1258" s="2" t="str">
        <x:v>Exports</x:v>
      </x:c>
      <x:c r="B1258" s="2" t="n">
        <x:v>521</x:v>
      </x:c>
      <x:c r="C1258" s="2" t="str">
        <x:v>Hemp ---     </x:v>
      </x:c>
      <x:c r="D1258" s="2" t="str">
        <x:v>tons.</x:v>
      </x:c>
      <x:c r="E1258" s="8" t="n">
        <x:v>102</x:v>
      </x:c>
      <x:c r="F1258" s="8" t="n">
        <x:v>3381</x:v>
      </x:c>
    </x:row>
    <x:row r="1259" ht="23" customHeight="1">
      <x:c r="A1259" s="2" t="str">
        <x:v>Exports</x:v>
      </x:c>
      <x:c r="B1259" s="2" t="n">
        <x:v>522</x:v>
      </x:c>
      <x:c r="C1259" s="2" t="str">
        <x:v>Tow or Codilla ----     </x:v>
      </x:c>
      <x:c r="D1259" s="2" t="str">
        <x:v>"</x:v>
      </x:c>
      <x:c r="E1259" s="8" t="n">
        <x:v>650</x:v>
      </x:c>
      <x:c r="F1259" s="8" t="n">
        <x:v>9755</x:v>
      </x:c>
    </x:row>
    <x:row r="1260" ht="23" customHeight="1">
      <x:c r="A1260" s="2" t="str">
        <x:v>Exports</x:v>
      </x:c>
      <x:c r="B1260" s="2" t="n">
        <x:v>523</x:v>
      </x:c>
      <x:c r="C1260" s="2" t="str">
        <x:v>Rope,Cordage and Twine ----     </x:v>
      </x:c>
      <x:c r="D1260" s="2" t="str">
        <x:v>cwts.</x:v>
      </x:c>
      <x:c r="E1260" s="8" t="n">
        <x:v>188876</x:v>
      </x:c>
      <x:c r="F1260" s="8" t="n">
        <x:v>239243</x:v>
      </x:c>
    </x:row>
    <x:row r="1261" ht="23" customHeight="1">
      <x:c r="A1261" s="2" t="str">
        <x:v>Exports</x:v>
      </x:c>
      <x:c r="B1261" s="2" t="n">
        <x:v>524</x:v>
      </x:c>
      <x:c r="C1261" s="2" t="str">
        <x:v>Oil Cloth ----     </x:v>
      </x:c>
      <x:c r="D1261" s="2" t="str">
        <x:v>"</x:v>
      </x:c>
      <x:c r="E1261" s="8" t="n">
        <x:v>508</x:v>
      </x:c>
      <x:c r="F1261" s="8" t="n">
        <x:v>889</x:v>
      </x:c>
    </x:row>
    <x:row r="1262" ht="23" customHeight="1">
      <x:c r="A1262" s="2" t="str">
        <x:v>Exports</x:v>
      </x:c>
      <x:c r="B1262" s="2" t="n">
        <x:v>525</x:v>
      </x:c>
      <x:c r="C1262" s="2" t="str">
        <x:v>Bags and Bagging ----     </x:v>
      </x:c>
      <x:c r="D1262" s="2" t="str">
        <x:v>"</x:v>
      </x:c>
      <x:c r="E1262" s="8" t="n">
        <x:v>132049</x:v>
      </x:c>
      <x:c r="F1262" s="8" t="n">
        <x:v>61623</x:v>
      </x:c>
    </x:row>
    <x:row r="1263" ht="23" customHeight="1">
      <x:c r="A1263" s="2" t="str">
        <x:v>Exports</x:v>
      </x:c>
      <x:c r="B1263" s="2" t="n">
        <x:v>526</x:v>
      </x:c>
      <x:c r="C1263" s="2" t="str">
        <x:v>Canvas ----     </x:v>
      </x:c>
      <x:c r="D1263" s="2" t="str">
        <x:v>"</x:v>
      </x:c>
      <x:c r="E1263" s="8" t="n">
        <x:v>2947</x:v>
      </x:c>
      <x:c r="F1263" s="8" t="n">
        <x:v>11002</x:v>
      </x:c>
    </x:row>
    <x:row r="1264" ht="23" customHeight="1">
      <x:c r="A1264" s="2" t="str">
        <x:v>Exports</x:v>
      </x:c>
      <x:c r="B1264" s="2" t="n">
        <x:v>527</x:v>
      </x:c>
      <x:c r="C1264" s="2" t="str">
        <x:v>Silk,Poplin and Velvet ----     </x:v>
      </x:c>
      <x:c r="D1264" s="2" t="str">
        <x:v>"</x:v>
      </x:c>
      <x:c r="E1264" s="8" t="n">
        <x:v>39</x:v>
      </x:c>
      <x:c r="F1264" s="8" t="n">
        <x:v>5460</x:v>
      </x:c>
    </x:row>
    <x:row r="1265" ht="23" customHeight="1">
      <x:c r="A1265" s="2" t="str">
        <x:v>Exports</x:v>
      </x:c>
      <x:c r="B1265" s="2" t="n">
        <x:v>528</x:v>
      </x:c>
      <x:c r="C1265" s="2" t="str">
        <x:v>Wool ----     </x:v>
      </x:c>
      <x:c r="D1265" s="2" t="str">
        <x:v>lbs.</x:v>
      </x:c>
      <x:c r="E1265" s="8" t="n">
        <x:v>11381104</x:v>
      </x:c>
      <x:c r="F1265" s="8" t="n">
        <x:v>426791</x:v>
      </x:c>
    </x:row>
    <x:row r="1266" ht="23" customHeight="1">
      <x:c r="A1266" s="2" t="str">
        <x:v>Exports</x:v>
      </x:c>
      <x:c r="B1266" s="2" t="n">
        <x:v>529</x:v>
      </x:c>
      <x:c r="C1266" s="2" t="str">
        <x:v>"     Yarn ----     </x:v>
      </x:c>
      <x:c r="D1266" s="2" t="str">
        <x:v>"</x:v>
      </x:c>
      <x:c r="E1266" s="8" t="n">
        <x:v>76944</x:v>
      </x:c>
      <x:c r="F1266" s="8" t="n">
        <x:v>7694</x:v>
      </x:c>
    </x:row>
    <x:row r="1267" ht="23" customHeight="1">
      <x:c r="A1267" s="2" t="str">
        <x:v>Exports</x:v>
      </x:c>
      <x:c r="B1267" s="2" t="n">
        <x:v>530</x:v>
      </x:c>
      <x:c r="C1267" s="2" t="str">
        <x:v>Blankets ----     </x:v>
      </x:c>
      <x:c r="D1267" s="2" t="str">
        <x:v>cwts.</x:v>
      </x:c>
      <x:c r="E1267" s="8" t="n">
        <x:v>120</x:v>
      </x:c>
      <x:c r="F1267" s="8" t="n">
        <x:v>840</x:v>
      </x:c>
    </x:row>
    <x:row r="1268" ht="23" customHeight="1">
      <x:c r="A1268" s="2" t="str">
        <x:v>Exports</x:v>
      </x:c>
      <x:c r="B1268" s="2" t="n">
        <x:v>531</x:v>
      </x:c>
      <x:c r="C1268" s="2" t="str">
        <x:v>Carpets ----     </x:v>
      </x:c>
      <x:c r="D1268" s="2" t="str">
        <x:v>"</x:v>
      </x:c>
      <x:c r="E1268" s="8" t="n">
        <x:v>2482</x:v>
      </x:c>
      <x:c r="F1268" s="8" t="n">
        <x:v>39712</x:v>
      </x:c>
    </x:row>
    <x:row r="1269" ht="23" customHeight="1">
      <x:c r="A1269" s="2" t="str">
        <x:v>Exports</x:v>
      </x:c>
      <x:c r="B1269" s="2" t="n">
        <x:v>532</x:v>
      </x:c>
      <x:c r="C1269" s="2" t="str">
        <x:v>Felting ----     </x:v>
      </x:c>
      <x:c r="D1269" s="2" t="str">
        <x:v>"</x:v>
      </x:c>
      <x:c r="E1269" s="8" t="n">
        <x:v>306508</x:v>
      </x:c>
      <x:c r="F1269" s="8" t="n">
        <x:v>91952</x:v>
      </x:c>
    </x:row>
    <x:row r="1270" ht="23" customHeight="1">
      <x:c r="A1270" s="2" t="str">
        <x:v>Exports</x:v>
      </x:c>
      <x:c r="B1270" s="2" t="n">
        <x:v>533</x:v>
      </x:c>
      <x:c r="C1270" s="2" t="str">
        <x:v>Woolen Goods - unclassified ----     </x:v>
      </x:c>
      <x:c r="D1270" s="2" t="str">
        <x:v>"</x:v>
      </x:c>
      <x:c r="E1270" s="8" t="n">
        <x:v>21533</x:v>
      </x:c>
      <x:c r="F1270" s="8" t="n">
        <x:v>361754</x:v>
      </x:c>
    </x:row>
    <x:row r="1271" ht="23" customHeight="1">
      <x:c r="A1271" s="2" t="str">
        <x:v>Exports</x:v>
      </x:c>
      <x:c r="B1271" s="2" t="n">
        <x:v>534</x:v>
      </x:c>
      <x:c r="C1271" s="2" t="str">
        <x:v>Thread ----     </x:v>
      </x:c>
      <x:c r="D1271" s="2" t="str">
        <x:v>lbs.</x:v>
      </x:c>
      <x:c r="E1271" s="8" t="n">
        <x:v>2924432</x:v>
      </x:c>
      <x:c r="F1271" s="8" t="n">
        <x:v>365554</x:v>
      </x:c>
    </x:row>
    <x:row r="1272" ht="23" customHeight="1">
      <x:c r="A1272" s="2" t="str">
        <x:v>Exports</x:v>
      </x:c>
      <x:c r="B1272" s="2" t="n">
        <x:v>535</x:v>
      </x:c>
      <x:c r="C1272" s="2" t="str">
        <x:v>Lace ----     </x:v>
      </x:c>
      <x:c r="D1272" s="2" t="str">
        <x:v>value</x:v>
      </x:c>
      <x:c r="E1272" s="8" t="str">
        <x:v>-</x:v>
      </x:c>
      <x:c r="F1272" s="8" t="n">
        <x:v>85000</x:v>
      </x:c>
    </x:row>
    <x:row r="1273" ht="23" customHeight="1">
      <x:c r="A1273" s="2" t="str">
        <x:v>Exports</x:v>
      </x:c>
      <x:c r="B1273" s="2" t="n">
        <x:v>536</x:v>
      </x:c>
      <x:c r="C1273" s="2" t="str">
        <x:v>Yarns, unclassified ----     </x:v>
      </x:c>
      <x:c r="D1273" s="2" t="str">
        <x:v>lbs.</x:v>
      </x:c>
      <x:c r="E1273" s="8" t="n">
        <x:v>2906064</x:v>
      </x:c>
      <x:c r="F1273" s="8" t="n">
        <x:v>169690</x:v>
      </x:c>
    </x:row>
    <x:row r="1274" ht="23" customHeight="1">
      <x:c r="A1274" s="2" t="str">
        <x:v>Exports</x:v>
      </x:c>
      <x:c r="B1274" s="2" t="n">
        <x:v>537</x:v>
      </x:c>
      <x:c r="C1274" s="2" t="str">
        <x:v>     </x:v>
      </x:c>
      <x:c r="D1274" s="2"/>
      <x:c r="E1274" s="8"/>
      <x:c r="F1274" s="8"/>
    </x:row>
    <x:row r="1275" ht="23" customHeight="1">
      <x:c r="A1275" s="2" t="str">
        <x:v>Exports</x:v>
      </x:c>
      <x:c r="B1275" s="2" t="n">
        <x:v>538</x:v>
      </x:c>
      <x:c r="C1275" s="2" t="str">
        <x:v>HAIR,FIBRE,FLOCK, &amp;c. -     </x:v>
      </x:c>
      <x:c r="D1275" s="2"/>
      <x:c r="E1275" s="8"/>
      <x:c r="F1275" s="8"/>
    </x:row>
    <x:row r="1276" ht="23" customHeight="1">
      <x:c r="A1276" s="2" t="str">
        <x:v>Exports</x:v>
      </x:c>
      <x:c r="B1276" s="2" t="n">
        <x:v>539</x:v>
      </x:c>
      <x:c r="C1276" s="2" t="str">
        <x:v>Hair, Curled  ----     </x:v>
      </x:c>
      <x:c r="D1276" s="2" t="str">
        <x:v>cwts.</x:v>
      </x:c>
      <x:c r="E1276" s="8" t="n">
        <x:v>1023</x:v>
      </x:c>
      <x:c r="F1276" s="8" t="n">
        <x:v>3325</x:v>
      </x:c>
    </x:row>
    <x:row r="1277" ht="23" customHeight="1">
      <x:c r="A1277" s="2" t="str">
        <x:v>Exports</x:v>
      </x:c>
      <x:c r="B1277" s="2" t="n">
        <x:v>540</x:v>
      </x:c>
      <x:c r="C1277" s="2" t="str">
        <x:v>"     Plasterers' ----     </x:v>
      </x:c>
      <x:c r="D1277" s="2" t="str">
        <x:v>"</x:v>
      </x:c>
      <x:c r="E1277" s="8" t="n">
        <x:v>502</x:v>
      </x:c>
      <x:c r="F1277" s="8" t="n">
        <x:v>301</x:v>
      </x:c>
    </x:row>
    <x:row r="1278" ht="23" customHeight="1">
      <x:c r="A1278" s="2" t="str">
        <x:v>Exports</x:v>
      </x:c>
      <x:c r="B1278" s="2" t="n">
        <x:v>541</x:v>
      </x:c>
      <x:c r="C1278" s="2" t="str">
        <x:v>Cotton Waste ----     </x:v>
      </x:c>
      <x:c r="D1278" s="2" t="str">
        <x:v>lbs.</x:v>
      </x:c>
      <x:c r="E1278" s="8" t="n">
        <x:v>144704</x:v>
      </x:c>
      <x:c r="F1278" s="8" t="n">
        <x:v>1689</x:v>
      </x:c>
    </x:row>
    <x:row r="1279" ht="23" customHeight="1">
      <x:c r="A1279" s="2" t="str">
        <x:v>Exports</x:v>
      </x:c>
      <x:c r="B1279" s="2" t="n">
        <x:v>542</x:v>
      </x:c>
      <x:c r="C1279" s="2" t="str">
        <x:v>Waste (Flax, Tow and Hemp) ----     </x:v>
      </x:c>
      <x:c r="D1279" s="2" t="str">
        <x:v>cwts.</x:v>
      </x:c>
      <x:c r="E1279" s="8" t="n">
        <x:v>152799</x:v>
      </x:c>
      <x:c r="F1279" s="8" t="n">
        <x:v>76400</x:v>
      </x:c>
    </x:row>
    <x:row r="1280" ht="23" customHeight="1">
      <x:c r="A1280" s="2" t="str">
        <x:v>Exports</x:v>
      </x:c>
      <x:c r="B1280" s="2" t="n">
        <x:v>543</x:v>
      </x:c>
      <x:c r="C1280" s="2" t="str">
        <x:v>Wool Flock ----     </x:v>
      </x:c>
      <x:c r="D1280" s="2" t="str">
        <x:v>lbs.</x:v>
      </x:c>
      <x:c r="E1280" s="8" t="n">
        <x:v>73584</x:v>
      </x:c>
      <x:c r="F1280" s="8" t="n">
        <x:v>383</x:v>
      </x:c>
    </x:row>
    <x:row r="1281" ht="23" customHeight="1">
      <x:c r="A1281" s="2" t="str">
        <x:v>Exports</x:v>
      </x:c>
      <x:c r="B1281" s="2" t="n">
        <x:v>544</x:v>
      </x:c>
      <x:c r="C1281" s="2" t="str">
        <x:v>Coir Yarn ----     </x:v>
      </x:c>
      <x:c r="D1281" s="2" t="str">
        <x:v>cwts.</x:v>
      </x:c>
      <x:c r="E1281" s="8" t="n">
        <x:v>875</x:v>
      </x:c>
      <x:c r="F1281" s="8" t="n">
        <x:v>613</x:v>
      </x:c>
    </x:row>
    <x:row r="1282" ht="23" customHeight="1">
      <x:c r="A1282" s="2" t="str">
        <x:v>Exports</x:v>
      </x:c>
      <x:c r="B1282" s="2" t="n">
        <x:v>545</x:v>
      </x:c>
      <x:c r="C1282" s="2" t="str">
        <x:v>Mattresses ----     </x:v>
      </x:c>
      <x:c r="D1282" s="2" t="str">
        <x:v>"</x:v>
      </x:c>
      <x:c r="E1282" s="8" t="n">
        <x:v>317</x:v>
      </x:c>
      <x:c r="F1282" s="8" t="n">
        <x:v>1775</x:v>
      </x:c>
    </x:row>
    <x:row r="1283" ht="23" customHeight="1">
      <x:c r="A1283" s="2" t="str">
        <x:v>Exports</x:v>
      </x:c>
      <x:c r="B1283" s="2" t="n">
        <x:v>546</x:v>
      </x:c>
      <x:c r="C1283" s="2" t="str">
        <x:v>Mats and Matting ----     </x:v>
      </x:c>
      <x:c r="D1283" s="2" t="str">
        <x:v>"</x:v>
      </x:c>
      <x:c r="E1283" s="8" t="n">
        <x:v>326</x:v>
      </x:c>
      <x:c r="F1283" s="8" t="n">
        <x:v>1521</x:v>
      </x:c>
    </x:row>
    <x:row r="1284" ht="23" customHeight="1">
      <x:c r="A1284" s="2" t="str">
        <x:v>Exports</x:v>
      </x:c>
      <x:c r="B1284" s="2" t="n">
        <x:v>547</x:v>
      </x:c>
      <x:c r="C1284" s="2" t="str">
        <x:v>Fibre and Oakum ----     </x:v>
      </x:c>
      <x:c r="D1284" s="2" t="str">
        <x:v>"</x:v>
      </x:c>
      <x:c r="E1284" s="8" t="n">
        <x:v>2187</x:v>
      </x:c>
      <x:c r="F1284" s="8" t="n">
        <x:v>2843</x:v>
      </x:c>
    </x:row>
    <x:row r="1285" ht="23" customHeight="1">
      <x:c r="A1285" s="2" t="str">
        <x:v>Exports</x:v>
      </x:c>
      <x:c r="B1285" s="2" t="n">
        <x:v>548</x:v>
      </x:c>
      <x:c r="C1285" s="2" t="str">
        <x:v>Hair ----     </x:v>
      </x:c>
      <x:c r="D1285" s="2" t="str">
        <x:v>"</x:v>
      </x:c>
      <x:c r="E1285" s="8" t="n">
        <x:v>1477</x:v>
      </x:c>
      <x:c r="F1285" s="8" t="n">
        <x:v>8271</x:v>
      </x:c>
    </x:row>
    <x:row r="1286" ht="23" customHeight="1">
      <x:c r="A1286" s="2" t="str">
        <x:v>Exports</x:v>
      </x:c>
      <x:c r="B1286" s="2" t="n">
        <x:v>549</x:v>
      </x:c>
      <x:c r="C1286" s="2" t="str">
        <x:v>     </x:v>
      </x:c>
      <x:c r="D1286" s="2"/>
      <x:c r="E1286" s="8"/>
      <x:c r="F1286" s="8"/>
    </x:row>
    <x:row r="1287" ht="23" customHeight="1">
      <x:c r="A1287" s="2" t="str">
        <x:v>Exports</x:v>
      </x:c>
      <x:c r="B1287" s="2" t="n">
        <x:v>550</x:v>
      </x:c>
      <x:c r="C1287" s="2" t="str">
        <x:v>TEXTILE GOODS, UNCLASSIFIED -     </x:v>
      </x:c>
      <x:c r="D1287" s="2"/>
      <x:c r="E1287" s="8"/>
      <x:c r="F1287" s="8"/>
    </x:row>
    <x:row r="1288" ht="23" customHeight="1">
      <x:c r="A1288" s="2" t="str">
        <x:v>Exports</x:v>
      </x:c>
      <x:c r="B1288" s="2" t="n">
        <x:v>551</x:v>
      </x:c>
      <x:c r="C1288" s="2" t="str">
        <x:v>Hoisery ----     </x:v>
      </x:c>
      <x:c r="D1288" s="2" t="str">
        <x:v>"</x:v>
      </x:c>
      <x:c r="E1288" s="8" t="n">
        <x:v>2522</x:v>
      </x:c>
      <x:c r="F1288" s="8" t="n">
        <x:v>35308</x:v>
      </x:c>
    </x:row>
    <x:row r="1289" ht="23" customHeight="1">
      <x:c r="A1289" s="2" t="str">
        <x:v>Exports</x:v>
      </x:c>
      <x:c r="B1289" s="2" t="n">
        <x:v>552</x:v>
      </x:c>
      <x:c r="C1289" s="2" t="str">
        <x:v>Drapery ----     </x:v>
      </x:c>
      <x:c r="D1289" s="2" t="str">
        <x:v>"</x:v>
      </x:c>
      <x:c r="E1289" s="8" t="n">
        <x:v>7576</x:v>
      </x:c>
      <x:c r="F1289" s="8" t="n">
        <x:v>106064</x:v>
      </x:c>
    </x:row>
    <x:row r="1290" ht="23" customHeight="1">
      <x:c r="A1290" s="2" t="str">
        <x:v>Exports</x:v>
      </x:c>
      <x:c r="B1290" s="2" t="n">
        <x:v>553</x:v>
      </x:c>
      <x:c r="C1290" s="2" t="str">
        <x:v>Haberdashery ----     </x:v>
      </x:c>
      <x:c r="D1290" s="2" t="str">
        <x:v>"</x:v>
      </x:c>
      <x:c r="E1290" s="8" t="n">
        <x:v>20106</x:v>
      </x:c>
      <x:c r="F1290" s="8" t="n">
        <x:v>309632</x:v>
      </x:c>
    </x:row>
    <x:row r="1291" ht="23" customHeight="1">
      <x:c r="A1291" s="2" t="str">
        <x:v>Exports</x:v>
      </x:c>
      <x:c r="B1291" s="2" t="n">
        <x:v>554</x:v>
      </x:c>
      <x:c r="C1291" s="2" t="str">
        <x:v>Apparel ----     </x:v>
      </x:c>
      <x:c r="D1291" s="2" t="str">
        <x:v>"</x:v>
      </x:c>
      <x:c r="E1291" s="8" t="n">
        <x:v>2634</x:v>
      </x:c>
      <x:c r="F1291" s="8" t="n">
        <x:v>36876</x:v>
      </x:c>
    </x:row>
    <x:row r="1292" ht="23" customHeight="1">
      <x:c r="A1292" s="2" t="str">
        <x:v>Exports</x:v>
      </x:c>
      <x:c r="B1292" s="2" t="n">
        <x:v>555</x:v>
      </x:c>
      <x:c r="C1292" s="2" t="str">
        <x:v>     </x:v>
      </x:c>
      <x:c r="D1292" s="2"/>
      <x:c r="E1292" s="8"/>
      <x:c r="F1292" s="8"/>
    </x:row>
    <x:row r="1293" ht="23" customHeight="1">
      <x:c r="A1293" s="2" t="str">
        <x:v>Exports</x:v>
      </x:c>
      <x:c r="B1293" s="2" t="n">
        <x:v>556</x:v>
      </x:c>
      <x:c r="C1293" s="2" t="str">
        <x:v>     </x:v>
      </x:c>
      <x:c r="D1293" s="2"/>
      <x:c r="E1293" s="8"/>
      <x:c r="F1293" s="8"/>
    </x:row>
    <x:row r="1294" ht="23" customHeight="1">
      <x:c r="A1294" s="2" t="str">
        <x:v>Exports</x:v>
      </x:c>
      <x:c r="B1294" s="2" t="n">
        <x:v>557</x:v>
      </x:c>
      <x:c r="C1294" s="2" t="str">
        <x:v>     </x:v>
      </x:c>
      <x:c r="D1294" s="2"/>
      <x:c r="E1294" s="8"/>
      <x:c r="F1294" s="8"/>
    </x:row>
    <x:row r="1295" ht="23" customHeight="1">
      <x:c r="A1295" s="2" t="str">
        <x:v>Exports</x:v>
      </x:c>
      <x:c r="B1295" s="2" t="n">
        <x:v>558</x:v>
      </x:c>
      <x:c r="C1295" s="2" t="str">
        <x:v>157. TOBACCO -     </x:v>
      </x:c>
      <x:c r="D1295" s="2"/>
      <x:c r="E1295" s="8"/>
      <x:c r="F1295" s="8"/>
    </x:row>
    <x:row r="1296" ht="23" customHeight="1">
      <x:c r="A1296" s="2" t="str">
        <x:v>Exports</x:v>
      </x:c>
      <x:c r="B1296" s="2" t="n">
        <x:v>559</x:v>
      </x:c>
      <x:c r="C1296" s="2" t="str">
        <x:v>Manufactured ----     </x:v>
      </x:c>
      <x:c r="D1296" s="2" t="str">
        <x:v>lbs.</x:v>
      </x:c>
      <x:c r="E1296" s="8" t="n">
        <x:v>4992492</x:v>
      </x:c>
      <x:c r="F1296" s="8" t="n">
        <x:v>998498</x:v>
      </x:c>
    </x:row>
    <x:row r="1297" ht="23" customHeight="1">
      <x:c r="A1297" s="2" t="str">
        <x:v>Exports</x:v>
      </x:c>
      <x:c r="B1297" s="2" t="n">
        <x:v>560</x:v>
      </x:c>
      <x:c r="C1297" s="2" t="str">
        <x:v>Unmanufactured ----     </x:v>
      </x:c>
      <x:c r="D1297" s="2" t="str">
        <x:v>"</x:v>
      </x:c>
      <x:c r="E1297" s="8" t="n">
        <x:v>589532</x:v>
      </x:c>
      <x:c r="F1297" s="8" t="n">
        <x:v>14379</x:v>
      </x:c>
    </x:row>
    <x:row r="1298" ht="23" customHeight="1">
      <x:c r="A1298" s="2" t="str">
        <x:v>Exports</x:v>
      </x:c>
      <x:c r="B1298" s="2" t="n">
        <x:v>561</x:v>
      </x:c>
      <x:c r="C1298" s="2" t="str">
        <x:v>Snuff ----     </x:v>
      </x:c>
      <x:c r="D1298" s="2" t="str">
        <x:v>"</x:v>
      </x:c>
      <x:c r="E1298" s="8" t="n">
        <x:v>62608</x:v>
      </x:c>
      <x:c r="F1298" s="8" t="n">
        <x:v>9391</x:v>
      </x:c>
    </x:row>
    <x:row r="1299" ht="23" customHeight="1">
      <x:c r="A1299" s="2" t="str">
        <x:v>Exports</x:v>
      </x:c>
      <x:c r="B1299" s="2" t="n">
        <x:v>562</x:v>
      </x:c>
      <x:c r="C1299" s="2" t="str">
        <x:v>     </x:v>
      </x:c>
      <x:c r="D1299" s="2"/>
      <x:c r="E1299" s="8"/>
      <x:c r="F1299" s="8"/>
    </x:row>
    <x:row r="1300" ht="23" customHeight="1">
      <x:c r="A1300" s="2" t="str">
        <x:v>Exports</x:v>
      </x:c>
      <x:c r="B1300" s="2" t="n">
        <x:v>563</x:v>
      </x:c>
      <x:c r="C1300" s="2" t="str">
        <x:v>     </x:v>
      </x:c>
      <x:c r="D1300" s="2"/>
      <x:c r="E1300" s="8"/>
      <x:c r="F1300" s="8"/>
    </x:row>
    <x:row r="1301" ht="23" customHeight="1">
      <x:c r="A1301" s="2" t="str">
        <x:v>Exports</x:v>
      </x:c>
      <x:c r="B1301" s="2" t="n">
        <x:v>564</x:v>
      </x:c>
      <x:c r="C1301" s="2" t="str">
        <x:v>     </x:v>
      </x:c>
      <x:c r="D1301" s="2"/>
      <x:c r="E1301" s="8"/>
      <x:c r="F1301" s="8"/>
    </x:row>
    <x:row r="1302" ht="23" customHeight="1">
      <x:c r="A1302" s="2" t="str">
        <x:v>Exports</x:v>
      </x:c>
      <x:c r="B1302" s="2" t="n">
        <x:v>565</x:v>
      </x:c>
      <x:c r="C1302" s="2" t="str">
        <x:v>158. TOBACCO PIPES ----     </x:v>
      </x:c>
      <x:c r="D1302" s="2" t="str">
        <x:v>cwts.</x:v>
      </x:c>
      <x:c r="E1302" s="8" t="n">
        <x:v>234</x:v>
      </x:c>
      <x:c r="F1302" s="8" t="n">
        <x:v>30000</x:v>
      </x:c>
    </x:row>
    <x:row r="1303" ht="23" customHeight="1">
      <x:c r="A1303" s="2" t="str">
        <x:v>Exports</x:v>
      </x:c>
      <x:c r="B1303" s="2" t="n">
        <x:v>566</x:v>
      </x:c>
      <x:c r="C1303" s="2" t="str">
        <x:v>     </x:v>
      </x:c>
      <x:c r="D1303" s="2"/>
      <x:c r="E1303" s="8"/>
      <x:c r="F1303" s="8"/>
    </x:row>
    <x:row r="1304" ht="23" customHeight="1">
      <x:c r="A1304" s="2" t="str">
        <x:v>Exports</x:v>
      </x:c>
      <x:c r="B1304" s="2" t="n">
        <x:v>567</x:v>
      </x:c>
      <x:c r="C1304" s="2" t="str">
        <x:v>     </x:v>
      </x:c>
      <x:c r="D1304" s="2"/>
      <x:c r="E1304" s="8"/>
      <x:c r="F1304" s="8"/>
    </x:row>
    <x:row r="1305" ht="23" customHeight="1">
      <x:c r="A1305" s="2" t="str">
        <x:v>Exports</x:v>
      </x:c>
      <x:c r="B1305" s="2" t="n">
        <x:v>568</x:v>
      </x:c>
      <x:c r="C1305" s="2" t="str">
        <x:v>     </x:v>
      </x:c>
      <x:c r="D1305" s="2"/>
      <x:c r="E1305" s="8"/>
      <x:c r="F1305" s="8"/>
    </x:row>
    <x:row r="1306" ht="23" customHeight="1">
      <x:c r="A1306" s="2" t="str">
        <x:v>Exports</x:v>
      </x:c>
      <x:c r="B1306" s="2" t="n">
        <x:v>569</x:v>
      </x:c>
      <x:c r="C1306" s="2" t="str">
        <x:v>159. TOYS ----     </x:v>
      </x:c>
      <x:c r="D1306" s="2" t="str">
        <x:v>"</x:v>
      </x:c>
      <x:c r="E1306" s="8" t="n">
        <x:v>90</x:v>
      </x:c>
      <x:c r="F1306" s="8" t="n">
        <x:v>104</x:v>
      </x:c>
    </x:row>
    <x:row r="1307" ht="23" customHeight="1">
      <x:c r="A1307" s="2" t="str">
        <x:v>Exports</x:v>
      </x:c>
      <x:c r="B1307" s="2" t="n">
        <x:v>570</x:v>
      </x:c>
      <x:c r="C1307" s="2" t="str">
        <x:v>     </x:v>
      </x:c>
      <x:c r="D1307" s="2"/>
      <x:c r="E1307" s="8"/>
      <x:c r="F1307" s="8"/>
    </x:row>
    <x:row r="1308" ht="23" customHeight="1">
      <x:c r="A1308" s="2" t="str">
        <x:v>Exports</x:v>
      </x:c>
      <x:c r="B1308" s="2" t="n">
        <x:v>571</x:v>
      </x:c>
      <x:c r="C1308" s="2" t="str">
        <x:v>     </x:v>
      </x:c>
      <x:c r="D1308" s="2"/>
      <x:c r="E1308" s="8"/>
      <x:c r="F1308" s="8"/>
    </x:row>
    <x:row r="1309" ht="23" customHeight="1">
      <x:c r="A1309" s="2" t="str">
        <x:v>Exports</x:v>
      </x:c>
      <x:c r="B1309" s="2" t="n">
        <x:v>572</x:v>
      </x:c>
      <x:c r="C1309" s="2" t="str">
        <x:v>     </x:v>
      </x:c>
      <x:c r="D1309" s="2"/>
      <x:c r="E1309" s="8"/>
      <x:c r="F1309" s="8"/>
    </x:row>
    <x:row r="1310" ht="23" customHeight="1">
      <x:c r="A1310" s="2" t="str">
        <x:v>Exports</x:v>
      </x:c>
      <x:c r="B1310" s="2" t="n">
        <x:v>573</x:v>
      </x:c>
      <x:c r="C1310" s="2" t="str">
        <x:v>160. UMBRELLAS ----     </x:v>
      </x:c>
      <x:c r="D1310" s="2" t="str">
        <x:v>"</x:v>
      </x:c>
      <x:c r="E1310" s="8" t="n">
        <x:v>68</x:v>
      </x:c>
      <x:c r="F1310" s="8" t="n">
        <x:v>1428</x:v>
      </x:c>
    </x:row>
    <x:row r="1311" ht="23" customHeight="1">
      <x:c r="A1311" s="2" t="str">
        <x:v>Exports</x:v>
      </x:c>
      <x:c r="B1311" s="2" t="n">
        <x:v>574</x:v>
      </x:c>
      <x:c r="C1311" s="2" t="str">
        <x:v>     </x:v>
      </x:c>
      <x:c r="D1311" s="2"/>
      <x:c r="E1311" s="8"/>
      <x:c r="F1311" s="8"/>
    </x:row>
    <x:row r="1312" ht="23" customHeight="1">
      <x:c r="A1312" s="2" t="str">
        <x:v>Exports</x:v>
      </x:c>
      <x:c r="B1312" s="2" t="n">
        <x:v>575</x:v>
      </x:c>
      <x:c r="C1312" s="2" t="str">
        <x:v>     </x:v>
      </x:c>
      <x:c r="D1312" s="2"/>
      <x:c r="E1312" s="8"/>
      <x:c r="F1312" s="8"/>
    </x:row>
    <x:row r="1313" ht="23" customHeight="1">
      <x:c r="A1313" s="2" t="str">
        <x:v>Exports</x:v>
      </x:c>
      <x:c r="B1313" s="2" t="n">
        <x:v>576</x:v>
      </x:c>
      <x:c r="C1313" s="2" t="str">
        <x:v>     </x:v>
      </x:c>
      <x:c r="D1313" s="2"/>
      <x:c r="E1313" s="8"/>
      <x:c r="F1313" s="8"/>
    </x:row>
    <x:row r="1314" ht="23" customHeight="1">
      <x:c r="A1314" s="2" t="str">
        <x:v>Exports</x:v>
      </x:c>
      <x:c r="B1314" s="2" t="n">
        <x:v>577</x:v>
      </x:c>
      <x:c r="C1314" s="2" t="str">
        <x:v>161. WASTE SALT ----     </x:v>
      </x:c>
      <x:c r="D1314" s="2" t="str">
        <x:v>tons.</x:v>
      </x:c>
      <x:c r="E1314" s="8" t="n">
        <x:v>250</x:v>
      </x:c>
      <x:c r="F1314" s="8" t="n">
        <x:v>313</x:v>
      </x:c>
    </x:row>
    <x:row r="1315" ht="23" customHeight="1">
      <x:c r="A1315" s="2" t="str">
        <x:v>Exports</x:v>
      </x:c>
      <x:c r="B1315" s="2" t="n">
        <x:v>578</x:v>
      </x:c>
      <x:c r="C1315" s="2" t="str">
        <x:v>"           "   , unclassified ----     </x:v>
      </x:c>
      <x:c r="D1315" s="2" t="str">
        <x:v>cwts.</x:v>
      </x:c>
      <x:c r="E1315" s="8" t="n">
        <x:v>12756</x:v>
      </x:c>
      <x:c r="F1315" s="8" t="n">
        <x:v>6378</x:v>
      </x:c>
    </x:row>
    <x:row r="1316" ht="23" customHeight="1">
      <x:c r="A1316" s="2" t="str">
        <x:v>Exports</x:v>
      </x:c>
      <x:c r="B1316" s="2" t="n">
        <x:v>579</x:v>
      </x:c>
      <x:c r="C1316" s="2" t="str">
        <x:v>     </x:v>
      </x:c>
      <x:c r="D1316" s="2"/>
      <x:c r="E1316" s="8"/>
      <x:c r="F1316" s="8"/>
    </x:row>
    <x:row r="1317" ht="23" customHeight="1">
      <x:c r="A1317" s="2" t="str">
        <x:v>Exports</x:v>
      </x:c>
      <x:c r="B1317" s="2" t="n">
        <x:v>580</x:v>
      </x:c>
      <x:c r="C1317" s="2" t="str">
        <x:v>     </x:v>
      </x:c>
      <x:c r="D1317" s="2"/>
      <x:c r="E1317" s="8"/>
      <x:c r="F1317" s="8"/>
    </x:row>
    <x:row r="1318" ht="23" customHeight="1">
      <x:c r="A1318" s="2" t="str">
        <x:v>Exports</x:v>
      </x:c>
      <x:c r="B1318" s="2" t="n">
        <x:v>581</x:v>
      </x:c>
      <x:c r="C1318" s="2" t="str">
        <x:v>162. WAX, PARAFFIN ----     </x:v>
      </x:c>
      <x:c r="D1318" s="2" t="str">
        <x:v>"</x:v>
      </x:c>
      <x:c r="E1318" s="8" t="n">
        <x:v>870</x:v>
      </x:c>
      <x:c r="F1318" s="8" t="n">
        <x:v>1000</x:v>
      </x:c>
    </x:row>
    <x:row r="1319" ht="23" customHeight="1">
      <x:c r="A1319" s="2" t="str">
        <x:v>Exports</x:v>
      </x:c>
      <x:c r="B1319" s="2" t="n">
        <x:v>582</x:v>
      </x:c>
      <x:c r="C1319" s="2" t="str">
        <x:v>     </x:v>
      </x:c>
      <x:c r="D1319" s="2"/>
      <x:c r="E1319" s="8"/>
      <x:c r="F1319" s="8"/>
    </x:row>
    <x:row r="1320" ht="23" customHeight="1">
      <x:c r="A1320" s="2" t="str">
        <x:v>Exports</x:v>
      </x:c>
      <x:c r="B1320" s="2" t="n">
        <x:v>583</x:v>
      </x:c>
      <x:c r="C1320" s="2" t="str">
        <x:v>     </x:v>
      </x:c>
      <x:c r="D1320" s="2"/>
      <x:c r="E1320" s="8"/>
      <x:c r="F1320" s="8"/>
    </x:row>
    <x:row r="1321" ht="23" customHeight="1">
      <x:c r="A1321" s="2" t="str">
        <x:v>Exports</x:v>
      </x:c>
      <x:c r="B1321" s="2" t="n">
        <x:v>584</x:v>
      </x:c>
      <x:c r="C1321" s="2" t="str">
        <x:v>     </x:v>
      </x:c>
      <x:c r="D1321" s="2"/>
      <x:c r="E1321" s="8"/>
      <x:c r="F1321" s="8"/>
    </x:row>
    <x:row r="1322" ht="23" customHeight="1">
      <x:c r="A1322" s="2" t="str">
        <x:v>Exports</x:v>
      </x:c>
      <x:c r="B1322" s="2" t="n">
        <x:v>585</x:v>
      </x:c>
      <x:c r="C1322" s="2" t="str">
        <x:v>163. WOOD,TIMBER,and MANUFACTURES THEREOF -     </x:v>
      </x:c>
      <x:c r="D1322" s="2"/>
      <x:c r="E1322" s="8"/>
      <x:c r="F1322" s="8"/>
    </x:row>
    <x:row r="1323" ht="23" customHeight="1">
      <x:c r="A1323" s="2" t="str">
        <x:v>Exports</x:v>
      </x:c>
      <x:c r="B1323" s="2" t="n">
        <x:v>586</x:v>
      </x:c>
      <x:c r="C1323" s="2" t="str">
        <x:v>Timber, Rough(unclassified) ----     </x:v>
      </x:c>
      <x:c r="D1323" s="2" t="str">
        <x:v>loads.</x:v>
      </x:c>
      <x:c r="E1323" s="8" t="n">
        <x:v>96866</x:v>
      </x:c>
      <x:c r="F1323" s="8" t="n">
        <x:v>174395</x:v>
      </x:c>
    </x:row>
    <x:row r="1324" ht="23" customHeight="1">
      <x:c r="A1324" s="2" t="str">
        <x:v>Exports</x:v>
      </x:c>
      <x:c r="B1324" s="2" t="n">
        <x:v>587</x:v>
      </x:c>
      <x:c r="C1324" s="2" t="str">
        <x:v>Timber, Sawn(unclassified) ----     </x:v>
      </x:c>
      <x:c r="D1324" s="2" t="str">
        <x:v>"</x:v>
      </x:c>
      <x:c r="E1324" s="8" t="n">
        <x:v>21727</x:v>
      </x:c>
      <x:c r="F1324" s="8" t="n">
        <x:v>65181</x:v>
      </x:c>
    </x:row>
    <x:row r="1325" ht="23" customHeight="1">
      <x:c r="A1325" s="2" t="str">
        <x:v>Exports</x:v>
      </x:c>
      <x:c r="B1325" s="2" t="n">
        <x:v>588</x:v>
      </x:c>
      <x:c r="C1325" s="2" t="str">
        <x:v>Baskets ----     </x:v>
      </x:c>
      <x:c r="D1325" s="2" t="str">
        <x:v>cwts.</x:v>
      </x:c>
      <x:c r="E1325" s="8" t="n">
        <x:v>400</x:v>
      </x:c>
      <x:c r="F1325" s="8" t="n">
        <x:v>1600</x:v>
      </x:c>
    </x:row>
    <x:row r="1326" ht="23" customHeight="1">
      <x:c r="A1326" s="2" t="str">
        <x:v>Exports</x:v>
      </x:c>
      <x:c r="B1326" s="2" t="n">
        <x:v>589</x:v>
      </x:c>
      <x:c r="C1326" s="2" t="str">
        <x:v>Willows ----     </x:v>
      </x:c>
      <x:c r="D1326" s="2" t="str">
        <x:v>"</x:v>
      </x:c>
      <x:c r="E1326" s="8" t="n">
        <x:v>5122</x:v>
      </x:c>
      <x:c r="F1326" s="8" t="n">
        <x:v>5122</x:v>
      </x:c>
    </x:row>
    <x:row r="1327" ht="23" customHeight="1">
      <x:c r="A1327" s="2" t="str">
        <x:v>Exports</x:v>
      </x:c>
      <x:c r="B1327" s="2" t="n">
        <x:v>590</x:v>
      </x:c>
      <x:c r="C1327" s="2" t="str">
        <x:v>Clog Blocks ----     </x:v>
      </x:c>
      <x:c r="D1327" s="2" t="str">
        <x:v>"</x:v>
      </x:c>
      <x:c r="E1327" s="8" t="n">
        <x:v>4222</x:v>
      </x:c>
      <x:c r="F1327" s="8" t="n">
        <x:v>1583</x:v>
      </x:c>
    </x:row>
    <x:row r="1328" ht="23" customHeight="1">
      <x:c r="A1328" s="2" t="str">
        <x:v>Exports</x:v>
      </x:c>
      <x:c r="B1328" s="2" t="n">
        <x:v>591</x:v>
      </x:c>
      <x:c r="C1328" s="2" t="str">
        <x:v>Walking Sticks ----     </x:v>
      </x:c>
      <x:c r="D1328" s="2" t="str">
        <x:v>"</x:v>
      </x:c>
      <x:c r="E1328" s="8" t="n">
        <x:v>929</x:v>
      </x:c>
      <x:c r="F1328" s="8" t="n">
        <x:v>16722</x:v>
      </x:c>
    </x:row>
    <x:row r="1329" ht="23" customHeight="1">
      <x:c r="A1329" s="2" t="str">
        <x:v>Exports</x:v>
      </x:c>
      <x:c r="B1329" s="2" t="n">
        <x:v>592</x:v>
      </x:c>
      <x:c r="C1329" s="2" t="str">
        <x:v>Washboards ----     </x:v>
      </x:c>
      <x:c r="D1329" s="2" t="str">
        <x:v>"</x:v>
      </x:c>
      <x:c r="E1329" s="8" t="n">
        <x:v>341</x:v>
      </x:c>
      <x:c r="F1329" s="8" t="n">
        <x:v>239</x:v>
      </x:c>
    </x:row>
    <x:row r="1330" ht="23" customHeight="1">
      <x:c r="A1330" s="2" t="str">
        <x:v>Exports</x:v>
      </x:c>
      <x:c r="B1330" s="2" t="n">
        <x:v>593</x:v>
      </x:c>
      <x:c r="C1330" s="2" t="str">
        <x:v>Furniture ----     </x:v>
      </x:c>
      <x:c r="D1330" s="2" t="str">
        <x:v>"</x:v>
      </x:c>
      <x:c r="E1330" s="8" t="n">
        <x:v>28660</x:v>
      </x:c>
      <x:c r="F1330" s="8" t="n">
        <x:v>100310</x:v>
      </x:c>
    </x:row>
    <x:row r="1331" ht="23" customHeight="1">
      <x:c r="A1331" s="2" t="str">
        <x:v>Exports</x:v>
      </x:c>
      <x:c r="B1331" s="2" t="n">
        <x:v>594</x:v>
      </x:c>
      <x:c r="C1331" s="2" t="str">
        <x:v>Wooden Manufactures, unclassified ----     </x:v>
      </x:c>
      <x:c r="D1331" s="2" t="str">
        <x:v>"</x:v>
      </x:c>
      <x:c r="E1331" s="8" t="n">
        <x:v>2260</x:v>
      </x:c>
      <x:c r="F1331" s="8" t="n">
        <x:v>1469</x:v>
      </x:c>
    </x:row>
    <x:row r="1332" ht="23" customHeight="1">
      <x:c r="A1332" s="2" t="str">
        <x:v>Exports</x:v>
      </x:c>
      <x:c r="B1332" s="2" t="n">
        <x:v>595</x:v>
      </x:c>
      <x:c r="C1332" s="2" t="str">
        <x:v>     </x:v>
      </x:c>
      <x:c r="D1332" s="2"/>
      <x:c r="E1332" s="8"/>
      <x:c r="F1332" s="8"/>
    </x:row>
    <x:row r="1333" ht="23" customHeight="1">
      <x:c r="A1333" s="2" t="str">
        <x:v>Exports</x:v>
      </x:c>
      <x:c r="B1333" s="2" t="n">
        <x:v>596</x:v>
      </x:c>
      <x:c r="C1333" s="2" t="str">
        <x:v>     </x:v>
      </x:c>
      <x:c r="D1333" s="2"/>
      <x:c r="E1333" s="8"/>
      <x:c r="F1333" s="8"/>
    </x:row>
    <x:row r="1334" ht="23" customHeight="1">
      <x:c r="A1334" s="2" t="str">
        <x:v>Exports</x:v>
      </x:c>
      <x:c r="B1334" s="2" t="n">
        <x:v>597</x:v>
      </x:c>
      <x:c r="C1334" s="2" t="str">
        <x:v>     </x:v>
      </x:c>
      <x:c r="D1334" s="2"/>
      <x:c r="E1334" s="8"/>
      <x:c r="F1334" s="8"/>
    </x:row>
    <x:row r="1335" ht="23" customHeight="1">
      <x:c r="A1335" s="2" t="str">
        <x:v>Exports</x:v>
      </x:c>
      <x:c r="B1335" s="2" t="n">
        <x:v>598</x:v>
      </x:c>
      <x:c r="C1335" s="2" t="str">
        <x:v>164. YEAST ----     </x:v>
      </x:c>
      <x:c r="D1335" s="2" t="str">
        <x:v>"</x:v>
      </x:c>
      <x:c r="E1335" s="8" t="n">
        <x:v>108386</x:v>
      </x:c>
      <x:c r="F1335" s="8" t="n">
        <x:v>227610</x:v>
      </x:c>
    </x:row>
    <x:row r="1336" ht="23" customHeight="1">
      <x:c r="A1336" s="2"/>
      <x:c r="B1336" s="2"/>
      <x:c r="C1336" s="2"/>
      <x:c r="D1336" s="2"/>
      <x:c r="E1336" s="2"/>
      <x:c r="F1336" s="2"/>
    </x:row>
    <x:row r="1337" ht="23" customHeight="1">
      <x:c r="A1337" s="2"/>
      <x:c r="B1337" s="2"/>
      <x:c r="C1337" s="2"/>
      <x:c r="D1337" s="2"/>
      <x:c r="E1337" s="2"/>
      <x:c r="F1337" s="2"/>
    </x:row>
    <x:row r="1338" ht="23" customHeight="1">
      <x:c r="A1338" s="2"/>
      <x:c r="B1338" s="2"/>
      <x:c r="C1338" s="2"/>
      <x:c r="D1338" s="2"/>
      <x:c r="E1338" s="2"/>
      <x:c r="F1338" s="2"/>
    </x:row>
    <x:row r="1339" ht="23" customHeight="1">
      <x:c r="A1339" s="2"/>
      <x:c r="B1339" s="2"/>
      <x:c r="C1339" s="2"/>
      <x:c r="D1339" s="2"/>
      <x:c r="E1339" s="2"/>
      <x:c r="F1339" s="2"/>
    </x:row>
    <x:row r="1340" ht="23" customHeight="1">
      <x:c r="A1340" s="2"/>
      <x:c r="B1340" s="2"/>
      <x:c r="C1340" s="2"/>
      <x:c r="D1340" s="2"/>
      <x:c r="E1340" s="2"/>
      <x:c r="F1340" s="2"/>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05" hidden="0" customWidth="1"/>
    <x:col min="3" max="3" width="5" hidden="0" customWidth="1"/>
    <x:col min="4" max="4" width="105" hidden="0" customWidth="1"/>
  </x:cols>
  <x:sheetData>
    <x:row r="1" ht="23" customHeight="1">
      <x:c r="A1" s="2"/>
      <x:c r="B1" s="2"/>
      <x:c r="C1" s="2"/>
      <x:c r="D1" s="2"/>
    </x:row>
    <x:row r="2" ht="23" customHeight="1">
      <x:c r="A2" s="3" t="str">
        <x:v>Sources, comparability and research priorities</x:v>
      </x:c>
      <x:c r="B2" s="2"/>
      <x:c r="C2" s="2"/>
      <x:c r="D2" s="2"/>
    </x:row>
    <x:row r="3" ht="23" customHeight="1">
      <x:c r="A3" s="4"/>
      <x:c r="B3" s="4"/>
      <x:c r="C3" s="4"/>
      <x:c r="D3" s="4"/>
    </x:row>
    <x:row r="4" ht="30" customHeight="1">
      <x:c r="A4" s="7" t="str">
        <x:v>Topic</x:v>
      </x:c>
      <x:c r="B4" s="7" t="str">
        <x:v>Treatment</x:v>
      </x:c>
      <x:c r="C4" s="2"/>
      <x:c r="D4" s="2" t="str">
        <x:v>Source / next record to obtain</x:v>
      </x:c>
    </x:row>
    <x:row r="5" ht="80" customHeight="1">
      <x:c r="A5" s="10" t="str">
        <x:v>1822 model</x:v>
      </x:c>
      <x:c r="B5" s="10" t="str">
        <x:v>Retain merchandise, public and private flows, source-based alternatives, resident-recipient adjustments, and a partial residual. Extend services, labour income, remittances and financing. Do not carry 1822 values or assumed allocation percentages into 1901.</x:v>
      </x:c>
      <x:c r="C5" s="2"/>
      <x:c r="D5" s="10" t="str">
        <x:v>https://chris-colvin.github.io/ireland-1822.html</x:v>
      </x:c>
    </x:row>
    <x:row r="6" ht="80" customHeight="1">
      <x:c r="A6" s="10" t="str">
        <x:v>Origin of the fiscal return</x:v>
      </x:c>
      <x:c r="B6" s="10" t="str">
        <x:v>Oldham traces the return to Goschen’s 1890 inquiry, publication as Parliamentary Paper 329 (1891), and revision as Paper 93 (1893) for the Home Rule debates. This is the origin of the comparative return, not the first use of the term Imperial contribution.</x:v>
      </x:c>
      <x:c r="C6" s="2"/>
      <x:c r="D6" s="10" t="str">
        <x:v>https://www.tara.tcd.ie/tara8/server/api/core/bitstreams/f69c239e-a144-41d4-b979-11f2d8fdc85d/content</x:v>
      </x:c>
    </x:row>
    <x:row r="7" ht="80" customHeight="1">
      <x:c r="A7" s="10" t="str">
        <x:v>Union quota and 1817</x:v>
      </x:c>
      <x:c r="B7" s="10" t="str">
        <x:v>Article VII prescribed GB:Ireland contributions of 15:2. Exchequer amalgamation in 1817 ended the fixed quota. The 1822 territorial accounts and 1901 Irish-services classification are not directly comparable.</x:v>
      </x:c>
      <x:c r="C7" s="2"/>
      <x:c r="D7" s="10" t="str">
        <x:v>https://en.wikisource.org/wiki/Act_of_Union_1800 ; https://www.gutenberg.org/files/15086/15086-h/15086-h.htm</x:v>
      </x:c>
    </x:row>
    <x:row r="8" ht="80" customHeight="1">
      <x:c r="A8" s="10" t="str">
        <x:v>Fiscal subtotal</x:v>
      </x:c>
      <x:c r="B8" s="10" t="str">
        <x:v>Attributed revenue less domestic services is an accounting residual. For external flows establish tax incidence, recipient residence and any government purchases already counted in trade. Benefits of spending are a separate question.</x:v>
      </x:c>
      <x:c r="C8" s="2"/>
      <x:c r="D8" s="10" t="str">
        <x:v>https://en.wikisource.org/wiki/Problems_of_Empire/The_Finance_of_Federal_Government_for_the_United_Kingdom#APPENDIX.</x:v>
      </x:c>
    </x:row>
    <x:row r="9" ht="80" customHeight="1">
      <x:c r="A9" s="10" t="str">
        <x:v>Fiscal source discrepancy</x:v>
      </x:c>
      <x:c r="B9" s="10" t="str">
        <x:v>Brassey gives Irish revenue £9.505m, Scotfact £9.521m. Hansard gives services £7.268m, versus £7.306m in HNAG and Brassey. Preserve all versions. Obtain original return 90 (1901) and the return behind HNAG’s 1902 LV citation.</x:v>
      </x:c>
      <x:c r="C9" s="2"/>
      <x:c r="D9" s="10" t="str">
        <x:v>https://api.parliament.uk/historic-hansard/commons/1901/jul/18/financial-relations-of-great-britain-and ; https://www.scotfact.com/article_scotland20thCentury_data</x:v>
      </x:c>
    </x:row>
    <x:row r="10" ht="80" customHeight="1">
      <x:c r="A10" s="10" t="str">
        <x:v>England transcription discrepancy</x:v>
      </x:c>
      <x:c r="B10" s="10" t="str">
        <x:v>Brassey’s opening summary gives revenue £113.244m; Table V transcription gives £113.224m. The opening value equals services £34.769m plus contribution £78.475m and reconciles the total. Adopt it explicitly pending scan verification.</x:v>
      </x:c>
      <x:c r="C10" s="2"/>
      <x:c r="D10" s="10" t="str">
        <x:v>https://en.wikisource.org/wiki/Problems_of_Empire/The_Finance_of_Federal_Government_for_the_United_Kingdom#APPENDIX.</x:v>
      </x:c>
    </x:row>
    <x:row r="11" ht="80" customHeight="1">
      <x:c r="A11" s="10" t="str">
        <x:v>GDP denominator</x:v>
      </x:c>
      <x:c r="B11" s="10" t="str">
        <x:v>Use matched Millennium v3.1 current factor-cost output for Ireland, GB and UK. The workbook cites Andersson–Lennard (2017); the final paper has a different real growth path. Preserve older estimates and the price-base/vintage audit on GDP basis.</x:v>
      </x:c>
      <x:c r="C11" s="2"/>
      <x:c r="D11" s="10" t="str">
        <x:v>https://www.bankofengland.co.uk/-/media/boe/files/statistics/research-datasets/a-millennium-of-macroeconomic-data-for-the-uk.xlsx ; https://doi.org/10.1093/ereh/hey003</x:v>
      </x:c>
    </x:row>
    <x:row r="12" ht="80" customHeight="1">
      <x:c r="A12" s="10" t="str">
        <x:v>Trade proxy adopted</x:v>
      </x:c>
      <x:c r="B12" s="10" t="str">
        <x:v>Use HNAG 1904 exports and imports unchanged for 1901, agreed 11 October 2026. Backcasting is deferred. Preserve the £360 export control discrepancy and matched report vintage. Next priority is actual public receipts.</x:v>
      </x:c>
      <x:c r="C12" s="2"/>
      <x:c r="D12" s="10" t="str">
        <x:v>https://ceph.ie/data-set/international-trade/ ; https://www.tara.tcd.ie/bitstreams/28069c61-813a-4e79-8e67-9ddc49b205dc/download ; https://www.tara.tcd.ie/bitstreams/d9245105-097a-4a50-885e-bebb09092010/download</x:v>
      </x:c>
    </x:row>
    <x:row r="13" ht="80" customHeight="1">
      <x:c r="A13" s="10" t="str">
        <x:v>Priority 2: actual public receipts</x:v>
      </x:c>
      <x:c r="B13" s="10" t="str">
        <x:v>Find territorial Army/Navy expenditure, pensions and debt interest around 1900–01. Separate locally received pay and purchases from headquarters charges. Identify procurement already captured as exports.</x:v>
      </x:c>
      <x:c r="C13" s="2"/>
      <x:c r="D13" s="10" t="str">
        <x:v>Parliamentary Army and Navy accounts, geographical expenditure returns, and Treasury papers. No usable 1901 total yet located.</x:v>
      </x:c>
    </x:row>
    <x:row r="14" ht="80" customHeight="1">
      <x:c r="A14" s="10" t="str">
        <x:v>Priority 3: seasonal earnings</x:v>
      </x:c>
      <x:c r="B14" s="10" t="str">
        <x:v>Get Report, Maps and Appendices relating to Migratory Irish Agricultural Labourers (Cd.341, 1900) and the 1901 continuation. Wilson Fox has actual 1901 farm earnings examples but cautions against aggregation across unlike employment periods.</x:v>
      </x:c>
      <x:c r="C14" s="2"/>
      <x:c r="D14" s="10" t="str">
        <x:v>https://ceph.ie/wp-content/uploads/2024/04/Wilson-Fox.pdf ; https://hansard.parliament.uk/%E2%80%8CCommons/1902-01-24/debates/49b63972-856a-4bef-a90d-2352cf8ff887/IrishLandQuestion</x:v>
      </x:c>
    </x:row>
    <x:row r="15" ht="80" customHeight="1">
      <x:c r="A15" s="10" t="str">
        <x:v>Seasonal migration counts</x:v>
      </x:c>
      <x:c r="B15" s="10" t="str">
        <x:v>1904 home enumeration gives 17,589, including 7.8% migrating within Ireland; transport records give 33,470 with repeat trips. Do not treat journeys as unique workers or sum overlapping counts.</x:v>
      </x:c>
      <x:c r="C15" s="2"/>
      <x:c r="D15" s="10" t="str">
        <x:v>https://ceph.ie/wp-content/uploads/2024/04/Wilson-Fox.pdf</x:v>
      </x:c>
    </x:row>
    <x:row r="16" ht="80" customHeight="1">
      <x:c r="A16" s="10" t="str">
        <x:v>Remittances adopted</x:v>
      </x:c>
      <x:c r="B16" s="10" t="str">
        <x:v>Use the approximately $10m US-to-Ireland figure for 1906 unchanged as the working 1901 remittance receipts estimate, agreed 11 October 2026. Convert at $4.8665 per pound. No additional GB uplift. This is a receipt proxy, not a measured net transfer balance.</x:v>
      </x:c>
      <x:c r="C16" s="2"/>
      <x:c r="D16" s="10" t="str">
        <x:v>https://fraser.stlouisfed.org/title/credit-nations-trade-balance-united-states-620/fulltext</x:v>
      </x:c>
    </x:row>
    <x:row r="17" ht="80" customHeight="1">
      <x:c r="A17" s="10" t="str">
        <x:v>Priority 5: private income</x:v>
      </x:c>
      <x:c r="B17" s="10" t="str">
        <x:v>Use HNAG income-tax schedules C and D as leads, with resident ownership evidence for rents, mortgages, railway and company securities, bank assets and foreign investments. Income-tax geography is not creditor residence.</x:v>
      </x:c>
      <x:c r="C17" s="2"/>
      <x:c r="D17" s="10" t="str">
        <x:v>https://ceph.ie/data-set/public-finance/</x:v>
      </x:c>
    </x:row>
    <x:row r="18" ht="80" customHeight="1">
      <x:c r="A18" s="10" t="str">
        <x:v>Priority 6: transport and insurance</x:v>
      </x:c>
      <x:c r="B18" s="10" t="str">
        <x:v>Read trade valuation notes, shipping-company accounts and Board of Trade returns. Ships built and sold are goods; their operating earnings are services. Registered tonnage alone cannot establish net earnings.</x:v>
      </x:c>
      <x:c r="C18" s="2"/>
      <x:c r="D18" s="10" t="str">
        <x:v>Trade reports and company accounts; no defensible aggregate yet adopted.</x:v>
      </x:c>
    </x:row>
    <x:row r="19" ht="80" customHeight="1">
      <x:c r="A19" s="10" t="str">
        <x:v>Priority 7: travel</x:v>
      </x:c>
      <x:c r="B19" s="10" t="str">
        <x:v>Find passenger counts, tourist surveys or contemporary spending estimates. Separate visitors, emigrants, seasonal workers and Irish residents returning from travel.</x:v>
      </x:c>
      <x:c r="C19" s="2"/>
      <x:c r="D19" s="10" t="str">
        <x:v>Railway and steamship records; no defensible aggregate yet adopted.</x:v>
      </x:c>
    </x:row>
    <x:row r="20" ht="80" customHeight="1">
      <x:c r="A20" s="10" t="str">
        <x:v>Financing</x:v>
      </x:c>
      <x:c r="B20" s="10" t="str">
        <x:v>Investigate land-purchase advances, principal repayments, securities transactions and bank external assets/liabilities. Income is current; principal is financial. Bank deposits at home do not by themselves measure external flows.</x:v>
      </x:c>
      <x:c r="C20" s="2"/>
      <x:c r="D20" s="10" t="str">
        <x:v>Land Commission reports and bank balance sheets for matched dates.</x:v>
      </x:c>
    </x:row>
    <x:row r="21" ht="80" customHeight="1">
      <x:c r="A21" s="10" t="str">
        <x:v>Adoption rule</x:v>
      </x:c>
      <x:c r="B21" s="10" t="str">
        <x:v>Populate the account only after recording year, territorial coverage, units, source and overlaps. The account may use explicit proxies, but none is silently substituted. Net worker cash and the fiscal grouping are historical working aggregates, not single modern BoP categories.</x:v>
      </x:c>
      <x:c r="C21" s="2"/>
      <x:c r="D21" s="10" t="str">
        <x:v>Research convention for this workbook.</x:v>
      </x:c>
    </x:row>
    <x:row r="22" ht="80" customHeight="1">
      <x:c r="A22" s="10" t="str">
        <x:v>Source access</x:v>
      </x:c>
      <x:c r="B22" s="10" t="str">
        <x:v>HNAG spreadsheet inspected locally; online texts and transcriptions inspected. Several original scans and revised-series checks remain outstanding. This first assembly is not a complete measured balance of payments.</x:v>
      </x:c>
      <x:c r="C22" s="2"/>
      <x:c r="D22" s="10" t="str">
        <x:v>Evidence register records the source behind each numeric input.</x:v>
      </x:c>
    </x:row>
    <x:row r="23" ht="23" customHeight="1">
      <x:c r="A23" s="2"/>
      <x:c r="B23" s="2"/>
      <x:c r="C23" s="2"/>
      <x:c r="D23" s="2"/>
    </x:row>
    <x:row r="24" ht="23" customHeight="1">
      <x:c r="A24" s="2"/>
      <x:c r="B24" s="2"/>
      <x:c r="C24" s="2"/>
      <x:c r="D24" s="2"/>
    </x:row>
    <x:row r="25" ht="23" customHeight="1">
      <x:c r="A25" s="2"/>
      <x:c r="B25" s="2"/>
      <x:c r="C25" s="2"/>
      <x:c r="D25" s="2"/>
    </x:row>
    <x:row r="26" ht="23" customHeight="1">
      <x:c r="A26" s="2"/>
      <x:c r="B26" s="2"/>
      <x:c r="C26" s="2"/>
      <x:c r="D26" s="2"/>
    </x:row>
    <x:row r="27" ht="23" customHeight="1">
      <x:c r="A27" s="2"/>
      <x:c r="B27" s="2"/>
      <x:c r="C27" s="2"/>
      <x:c r="D27" s="2"/>
    </x:row>
    <x:row r="28" ht="23" customHeight="1">
      <x:c r="A28" s="2"/>
      <x:c r="B28" s="2"/>
      <x:c r="C28" s="2"/>
      <x:c r="D28" s="2"/>
    </x:row>
    <x:row r="29" ht="23" customHeight="1">
      <x:c r="A29" s="2"/>
      <x:c r="B29" s="2"/>
      <x:c r="C29" s="2"/>
      <x:c r="D29" s="2"/>
    </x:row>
    <x:row r="32" ht="30" customHeight="1">
      <x:c r="A32" s="47" t="str">
        <x:v>Predecessors and interpretation</x:v>
      </x:c>
      <x:c r="B32" s="47" t="str">
        <x:v>Review of 13 October 2026; adopted figures unchanged.</x:v>
      </x:c>
    </x:row>
    <x:row r="33" ht="115" customHeight="1">
      <x:c r="A33" s="48" t="str">
        <x:v>Giffen and the commission</x:v>
      </x:c>
      <x:c r="B33" s="48" t="str">
        <x:v>Original table verified: C.8008, Second Volume of Minutes of Evidence, printed p.174 / PDF p.414, B.—Supplement to Table III. For 1893: exports £25,574,000; imports £20,054,000; implied surplus £5,520,000. Includes allowances of £1m exports and £2.5m imports for unenumerated goods. Historical comparison only. Kennedy/CEPH/HNAG remains the adopted trade source, with 1904 values used unchanged for 1901. Supplied RoyalCommissionFinancialRelations1896-073783_complete.pdf.</x:v>
      </x:c>
    </x:row>
    <x:row r="34" ht="115" customHeight="1">
      <x:c r="A34" s="48" t="str">
        <x:v>Trade revisions</x:v>
      </x:c>
      <x:c r="B34" s="48" t="str">
        <x:v>Oldham, Changes in Irish Exports During Twelve Years (read 1918), pp.541–543, table I: 1904 exports revised from £46,606,432 to £49,212,181 and ultimately £49,784,760. Our commodity sum £49,211,821 differs by £360 from the intermediate control. Retrieve matching revised imports before replacing either side. Continue using 1904 as 1901. https://www.tara.tcd.ie/bitstreams/d9245105-097a-4a50-885e-bebb09092010/download</x:v>
      </x:c>
    </x:row>
    <x:row r="35" ht="115" customHeight="1">
      <x:c r="A35" s="48" t="str">
        <x:v>Fiscal interpretation</x:v>
      </x:c>
      <x:c r="B35" s="48" t="str">
        <x:v>Oldham, The Public Finances of Ireland (1920), pp.15–18: expenditure for Irish services differs from expenditure received in Ireland. Our £2.199m residual is the attributed-revenue-minus-Irish-services convention. Reconcile imperial-service payments to Irish residents and existing £176,000 partial receipts before treating it as a complete external transfer. https://www.tara.tcd.ie/tara8/server/api/core/bitstreams/f69c239e-a144-41d4-b979-11f2d8fdc85d/content</x:v>
      </x:c>
    </x:row>
    <x:row r="36" ht="115" customHeight="1">
      <x:c r="A36" s="48" t="str">
        <x:v>Investment cross-check</x:v>
      </x:c>
      <x:c r="B36" s="48" t="str">
        <x:v>Oldham (1925), The Trade Statistics of the Irish Free State in 1924, pp.118–121, reproduces £949,000 income tax collected and £975,000 attributed for 1900–01. The £26,000 adjustment is tax, not gross investment income. His estate-duty evidence overlaps ours and is not independent validation of £2.2m. https://www.tara.tcd.ie/bitstreams/3e145bed-0076-4ef0-9ac6-9e50254dd506/download</x:v>
      </x:c>
    </x:row>
    <x:row r="37" ht="115" customHeight="1">
      <x:c r="A37" s="48" t="str">
        <x:v>The 1903–04 break</x:v>
      </x:c>
      <x:c r="B37" s="48" t="str">
        <x:v>Primrose, Appendix I, printed p.191 / PDF p.195, records revised allocation based on 1898–99 to 1902–03 estate evidence. Our Primrose evidence tab records the net Irish share changing from 0.2% to 0.7%. Oldham associates the later jump with land purchase, but method changes prevent reading it as measured investment growth.</x:v>
      </x:c>
    </x:row>
    <x:row r="38" ht="115" customHeight="1">
      <x:c r="A38" s="48" t="str">
        <x:v>Ó Gráda: remittances</x:v>
      </x:c>
      <x:c r="B38" s="48" t="str">
        <x:v>Cormac Ó Gráda, Ireland: A New Economic History, 1780–1939 (1994), ch.9, pp.228–229: an assumed £3m annual remittance inflow from all sources before WWI. Broader coverage and a later benchmark than our US-based £2.055m proxy. Sandbox rows32–38 show a substitution, not an addition or adoption. Source supplied: Chapter9-151643009.pdf.</x:v>
      </x:c>
    </x:row>
    <x:row r="39" ht="115" customHeight="1">
      <x:c r="A39" s="48" t="str">
        <x:v>Ó Gráda: overseas investment</x:v>
      </x:c>
      <x:c r="B39" s="48" t="str">
        <x:v>Ó Gráda (1994), ch.14, p.350: substantial bank savings and London investment; overseas investment need not imply domestic capital scarcity. This directs attention to external institutional earnings, absent from our household securities model. Bank shares held by Irish residents are domestic assets: avoid double-counting their dividends. Source supplied: Chapter14-151643009.pdf.</x:v>
      </x:c>
    </x:row>
    <x:row r="40" ht="115" customHeight="1">
      <x:c r="A40" s="48" t="str">
        <x:v>Ó Gráda: integration and convergence</x:v>
      </x:c>
      <x:c r="B40" s="48" t="str">
        <x:v>Ó Gráda (1994), ch.11, p.272: post-Famine convergence in living standards was assisted by migration beyond Britain. Our ownership-income account can coexist with that finding; a net outward flow does not itself establish falling living standards. Source supplied: Chapter11-151643009.pdf.</x:v>
      </x:c>
    </x:row>
    <x:row r="41" ht="115" customHeight="1">
      <x:c r="A41" s="48" t="str">
        <x:v>Research positioning</x:v>
      </x:c>
      <x:c r="B41" s="48" t="str">
        <x:v>A reconstruction bringing together and reassessing contemporary estimates for 1901, with explicit assumptions and sensitivity analysis. No claim to be the first Irish BoP. No complete predecessor for precisely all-Ireland 1901 has yet been established in this review.</x:v>
      </x:c>
    </x:row>
    <x:row r="42" ht="115" customHeight="1">
      <x:c r="A42" s="48" t="str">
        <x:v>Priorities</x:v>
      </x:c>
      <x:c r="B42" s="48" t="str">
        <x:v>Reconcile institutional investment earnings and outward profits; reconcile imperial-service receipts by residence; retrieve paired revised 1904 trade totals. Keep £5m rents and £250,000 seasonal earnings as adopted. Missing flows are omitted, not measured zero; the subtotal does not establish financial-account financing.</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8" hidden="0" customWidth="1"/>
    <x:col min="2" max="2" width="17" hidden="0" customWidth="1"/>
    <x:col min="3" max="3" width="12" hidden="0" customWidth="1"/>
    <x:col min="4" max="4" width="12" hidden="0" customWidth="1"/>
    <x:col min="5" max="5" width="18" hidden="0" customWidth="1"/>
    <x:col min="6" max="6" width="5" hidden="0" customWidth="1"/>
    <x:col min="7" max="7" width="92" hidden="0" customWidth="1"/>
  </x:cols>
  <x:sheetData>
    <x:row r="1" ht="23" customHeight="1">
      <x:c r="A1" s="2"/>
      <x:c r="B1" s="2"/>
      <x:c r="C1" s="2"/>
      <x:c r="D1" s="2"/>
      <x:c r="E1" s="2"/>
      <x:c r="F1" s="2"/>
      <x:c r="G1" s="2"/>
    </x:row>
    <x:row r="2" ht="23" customHeight="1">
      <x:c r="A2" s="3" t="str">
        <x:v>Government payments: evidence and reconciliation</x:v>
      </x:c>
      <x:c r="B2" s="2"/>
      <x:c r="C2" s="2"/>
      <x:c r="D2" s="2"/>
      <x:c r="E2" s="2"/>
      <x:c r="F2" s="2"/>
      <x:c r="G2" s="2"/>
    </x:row>
    <x:row r="3" ht="23" customHeight="1">
      <x:c r="A3" s="4"/>
      <x:c r="B3" s="4"/>
      <x:c r="C3" s="4"/>
      <x:c r="D3" s="4"/>
      <x:c r="E3" s="4"/>
      <x:c r="F3" s="4"/>
      <x:c r="G3" s="4"/>
    </x:row>
    <x:row r="4" ht="30" customHeight="1">
      <x:c r="A4" s="7" t="str">
        <x:v>Candidate / control</x:v>
      </x:c>
      <x:c r="B4" s="7" t="str">
        <x:v>Amount (£)</x:v>
      </x:c>
      <x:c r="C4" s="7" t="str">
        <x:v>Period</x:v>
      </x:c>
      <x:c r="D4" s="7" t="str">
        <x:v>Status</x:v>
      </x:c>
      <x:c r="E4" s="7"/>
      <x:c r="F4" s="2"/>
      <x:c r="G4" s="2" t="str">
        <x:v>Interpretation</x:v>
      </x:c>
    </x:row>
    <x:row r="5" ht="64" customHeight="1">
      <x:c r="A5" s="2" t="str">
        <x:v>Selected Army works in Ireland</x:v>
      </x:c>
      <x:c r="B5" s="27" t="n">
        <x:f>E49</x:f>
        <x:v>100826.93333333333</x:v>
      </x:c>
      <x:c r="C5" s="10" t="str">
        <x:v>1901–02</x:v>
      </x:c>
      <x:c r="D5" s="10" t="str">
        <x:v>Partial</x:v>
      </x:c>
      <x:c r="E5" s="2"/>
      <x:c r="F5" s="2"/>
      <x:c r="G5" s="10" t="str">
        <x:v>Geographic expenditure, not yet resident receipts. Details below.</x:v>
      </x:c>
    </x:row>
    <x:row r="6" ht="64" customHeight="1">
      <x:c r="A6" s="2" t="str">
        <x:v>Kilmainham Hospital</x:v>
      </x:c>
      <x:c r="B6" s="27" t="n">
        <x:f>E51</x:f>
        <x:v>5539.958333333333</x:v>
      </x:c>
      <x:c r="C6" s="10" t="str">
        <x:v>1901–02</x:v>
      </x:c>
      <x:c r="D6" s="10" t="str">
        <x:v>Partial</x:v>
      </x:c>
      <x:c r="E6" s="2"/>
      <x:c r="F6" s="2"/>
      <x:c r="G6" s="10" t="str">
        <x:v>Institutional expenditure; do not treat as cash pensions to households.</x:v>
      </x:c>
    </x:row>
    <x:row r="7" ht="64" customHeight="1">
      <x:c r="A7" s="2" t="str">
        <x:v>Naval works reported in Parliament</x:v>
      </x:c>
      <x:c r="B7" s="27" t="n">
        <x:v>75000</x:v>
      </x:c>
      <x:c r="C7" s="10" t="str">
        <x:v>March 1901</x:v>
      </x:c>
      <x:c r="D7" s="10" t="str">
        <x:v>Lead</x:v>
      </x:c>
      <x:c r="E7" s="2"/>
      <x:c r="F7" s="2"/>
      <x:c r="G7" s="10" t="str">
        <x:v>Pretyman: £12,000 Haulbowline plus £63,000 other work. Annual cash outturn not established.</x:v>
      </x:c>
    </x:row>
    <x:row r="8" ht="64" customHeight="1">
      <x:c r="A8" s="2" t="str">
        <x:v>Bank of Ireland statutory interest</x:v>
      </x:c>
      <x:c r="B8" s="27" t="n">
        <x:f>B58</x:f>
        <x:v>72346.15391666666</x:v>
      </x:c>
      <x:c r="C8" s="10" t="str">
        <x:v>1901</x:v>
      </x:c>
      <x:c r="D8" s="10" t="str">
        <x:v>Derived</x:v>
      </x:c>
      <x:c r="E8" s="2"/>
      <x:c r="F8" s="2"/>
      <x:c r="G8" s="10" t="str">
        <x:v>Contractual annual amount. Verify unchanged principal and receipt in 1901 accounts before adoption.</x:v>
      </x:c>
    </x:row>
    <x:row r="9" ht="64" customHeight="1">
      <x:c r="A9" s="2" t="str">
        <x:v>Additional inflow adopted in account</x:v>
      </x:c>
      <x:c r="B9" s="2"/>
      <x:c r="C9" s="10" t="str">
        <x:v>1901</x:v>
      </x:c>
      <x:c r="D9" s="10" t="str">
        <x:v>Unresolved</x:v>
      </x:c>
      <x:c r="E9" s="2"/>
      <x:c r="F9" s="2"/>
      <x:c r="G9" s="10" t="str">
        <x:v>Blank means unmeasured. Candidate amounts are not summed into a government-payments total.</x:v>
      </x:c>
    </x:row>
    <x:row r="10" ht="23" customHeight="1">
      <x:c r="A10" s="2"/>
      <x:c r="B10" s="2"/>
      <x:c r="C10" s="2"/>
      <x:c r="D10" s="2"/>
      <x:c r="E10" s="2"/>
      <x:c r="F10" s="2"/>
      <x:c r="G10" s="10"/>
    </x:row>
    <x:row r="11" ht="64" customHeight="1">
      <x:c r="A11" s="2" t="str">
        <x:v>Reconciliation rule</x:v>
      </x:c>
      <x:c r="B11" s="2"/>
      <x:c r="C11" s="2"/>
      <x:c r="D11" s="2"/>
      <x:c r="E11" s="2"/>
      <x:c r="F11" s="2"/>
      <x:c r="G11" s="10" t="str">
        <x:v>The fiscal residual is a provisional territorial convention, not a complete modern BoP transaction measure.</x:v>
      </x:c>
    </x:row>
    <x:row r="12" ht="64" customHeight="1">
      <x:c r="A12" s="2" t="str">
        <x:v>Service category versus recipient residence</x:v>
      </x:c>
      <x:c r="B12" s="2"/>
      <x:c r="C12" s="2"/>
      <x:c r="D12" s="2"/>
      <x:c r="E12" s="2"/>
      <x:c r="F12" s="2"/>
      <x:c r="G12" s="10" t="str">
        <x:v>The Treasury classified Army, Navy and National Debt as general services. Some payments nevertheless reached Ireland. Hansard, 15 March 1906: https://api.parliament.uk/historic-hansard/commons/1906/mar/15/irish-financial-relations</x:v>
      </x:c>
    </x:row>
    <x:row r="13" ht="64" customHeight="1">
      <x:c r="A13" s="2" t="str">
        <x:v>Avoid counting the same receipt twice</x:v>
      </x:c>
      <x:c r="B13" s="2"/>
      <x:c r="C13" s="2"/>
      <x:c r="D13" s="2"/>
      <x:c r="E13" s="2"/>
      <x:c r="F13" s="2"/>
      <x:c r="G13" s="10" t="str">
        <x:v>Check procurement against merchandise exports. Do not count both nonresident garrison pay and its local spending. Irish birth does not establish Irish residence.</x:v>
      </x:c>
    </x:row>
    <x:row r="14" ht="64" customHeight="1">
      <x:c r="A14" s="2" t="str">
        <x:v>Use annual payments, not authorisations</x:v>
      </x:c>
      <x:c r="B14" s="2"/>
      <x:c r="C14" s="2"/>
      <x:c r="D14" s="2"/>
      <x:c r="E14" s="2"/>
      <x:c r="F14" s="2"/>
      <x:c r="G14" s="10" t="str">
        <x:v>Keep 1900–01, 1901–02 and calendar 1901 distinct. Naval project allocations need annual outturns. Debt principal and loan advances belong outside current receipts.</x:v>
      </x:c>
    </x:row>
    <x:row r="15" ht="64" customHeight="1">
      <x:c r="A15" s="2" t="str">
        <x:v>Do not allocate by population alone</x:v>
      </x:c>
      <x:c r="B15" s="2"/>
      <x:c r="C15" s="2"/>
      <x:c r="D15" s="2"/>
      <x:c r="E15" s="2"/>
      <x:c r="F15" s="2"/>
      <x:c r="G15" s="10" t="str">
        <x:v>Actual recipient residence and local purchases matter. Defence benefit or a fair imperial burden is a separate question from external payments.</x:v>
      </x:c>
    </x:row>
    <x:row r="16" ht="23" customHeight="1">
      <x:c r="A16" s="2"/>
      <x:c r="B16" s="2"/>
      <x:c r="C16" s="2"/>
      <x:c r="D16" s="2"/>
      <x:c r="E16" s="2"/>
      <x:c r="F16" s="2"/>
      <x:c r="G16" s="10"/>
    </x:row>
    <x:row r="17" ht="64" customHeight="1">
      <x:c r="A17" s="2" t="str">
        <x:v>Army works source</x:v>
      </x:c>
      <x:c r="B17" s="2"/>
      <x:c r="C17" s="2"/>
      <x:c r="D17" s="2"/>
      <x:c r="E17" s="2"/>
      <x:c r="F17" s="2"/>
      <x:c r="G17" s="10" t="str">
        <x:v>HNAG transcription of BPP, Army Appropriation Account 1903, XXXVIII, p.5. Text extraction checked; original printed tables and project descriptions still required. https://ceph.ie/wp-content/uploads/2024/04/Distribution-of-the-army-and-abstract-of-appropriation-accounts-showing-the-grants-of-parliament-for-Army-1894-1903.pdf</x:v>
      </x:c>
    </x:row>
    <x:row r="18" ht="23" customHeight="1">
      <x:c r="A18" s="2"/>
      <x:c r="B18" s="2"/>
      <x:c r="C18" s="2"/>
      <x:c r="D18" s="2"/>
      <x:c r="E18" s="2"/>
      <x:c r="F18" s="2"/>
      <x:c r="G18" s="10"/>
    </x:row>
    <x:row r="19" ht="30" customHeight="1">
      <x:c r="A19" s="7" t="str">
        <x:v>Location / expenditure category</x:v>
      </x:c>
      <x:c r="B19" s="7" t="str">
        <x:v>Pounds</x:v>
      </x:c>
      <x:c r="C19" s="7" t="str">
        <x:v>Shillings</x:v>
      </x:c>
      <x:c r="D19" s="7" t="str">
        <x:v>Pence</x:v>
      </x:c>
      <x:c r="E19" s="7" t="str">
        <x:v>Decimal £</x:v>
      </x:c>
      <x:c r="F19" s="2"/>
      <x:c r="G19" s="10"/>
    </x:row>
    <x:row r="20" ht="64" customHeight="1">
      <x:c r="A20" s="2" t="str">
        <x:v>Cork 1</x:v>
      </x:c>
      <x:c r="B20" s="38" t="n">
        <x:v>1729</x:v>
      </x:c>
      <x:c r="C20" s="38" t="n">
        <x:v>8</x:v>
      </x:c>
      <x:c r="D20" s="38" t="n">
        <x:v>0</x:v>
      </x:c>
      <x:c r="E20" s="27" t="n">
        <x:f>B20+C20/20+D20/240</x:f>
        <x:v>1729.4</x:v>
      </x:c>
      <x:c r="F20" s="2"/>
      <x:c r="G20" s="10" t="str">
        <x:v>Rows 20–40: large-project entries, with repeated locations kept separate. Project descriptions absent from transcription. Rows 42–47: small works (II) and maintenance (III). Verify boundaries against original before treating subtotal as exhaustive.</x:v>
      </x:c>
    </x:row>
    <x:row r="21" ht="23" customHeight="1">
      <x:c r="A21" s="2" t="str">
        <x:v>Cork 2</x:v>
      </x:c>
      <x:c r="B21" s="38" t="n">
        <x:v>2743</x:v>
      </x:c>
      <x:c r="C21" s="38" t="n">
        <x:v>14</x:v>
      </x:c>
      <x:c r="D21" s="38" t="n">
        <x:v>8</x:v>
      </x:c>
      <x:c r="E21" s="27" t="n">
        <x:f>B21+C21/20+D21/240</x:f>
        <x:v>2743.733333333333</x:v>
      </x:c>
      <x:c r="F21" s="2"/>
      <x:c r="G21" s="10"/>
    </x:row>
    <x:row r="22" ht="23" customHeight="1">
      <x:c r="A22" s="2" t="str">
        <x:v>Cork 3</x:v>
      </x:c>
      <x:c r="B22" s="38" t="n">
        <x:v>198</x:v>
      </x:c>
      <x:c r="C22" s="38" t="n">
        <x:v>15</x:v>
      </x:c>
      <x:c r="D22" s="38" t="n">
        <x:v>1</x:v>
      </x:c>
      <x:c r="E22" s="27" t="n">
        <x:f>B22+C22/20+D22/240</x:f>
        <x:v>198.75416666666666</x:v>
      </x:c>
      <x:c r="F22" s="2"/>
      <x:c r="G22" s="10"/>
    </x:row>
    <x:row r="23" ht="23" customHeight="1">
      <x:c r="A23" s="2" t="str">
        <x:v>Cork 4</x:v>
      </x:c>
      <x:c r="B23" s="38" t="n">
        <x:v>69</x:v>
      </x:c>
      <x:c r="C23" s="38" t="n">
        <x:v>18</x:v>
      </x:c>
      <x:c r="D23" s="38" t="n">
        <x:v>7</x:v>
      </x:c>
      <x:c r="E23" s="27" t="n">
        <x:f>B23+C23/20+D23/240</x:f>
        <x:v>69.92916666666667</x:v>
      </x:c>
      <x:c r="F23" s="2"/>
      <x:c r="G23" s="10"/>
    </x:row>
    <x:row r="24" ht="23" customHeight="1">
      <x:c r="A24" s="2" t="str">
        <x:v>Curragh 1</x:v>
      </x:c>
      <x:c r="B24" s="38" t="n">
        <x:v>7480</x:v>
      </x:c>
      <x:c r="C24" s="38" t="n">
        <x:v>0</x:v>
      </x:c>
      <x:c r="D24" s="38" t="n">
        <x:v>0</x:v>
      </x:c>
      <x:c r="E24" s="27" t="n">
        <x:f>B24+C24/20+D24/240</x:f>
        <x:v>7480</x:v>
      </x:c>
      <x:c r="F24" s="2"/>
      <x:c r="G24" s="10"/>
    </x:row>
    <x:row r="25" ht="23" customHeight="1">
      <x:c r="A25" s="2" t="str">
        <x:v>Curragh 2</x:v>
      </x:c>
      <x:c r="B25" s="38" t="n">
        <x:v>700</x:v>
      </x:c>
      <x:c r="C25" s="38" t="n">
        <x:v>0</x:v>
      </x:c>
      <x:c r="D25" s="38" t="n">
        <x:v>3</x:v>
      </x:c>
      <x:c r="E25" s="27" t="n">
        <x:f>B25+C25/20+D25/240</x:f>
        <x:v>700.0125</x:v>
      </x:c>
      <x:c r="F25" s="2"/>
      <x:c r="G25" s="10"/>
    </x:row>
    <x:row r="26" ht="23" customHeight="1">
      <x:c r="A26" s="2" t="str">
        <x:v>Curragh 3</x:v>
      </x:c>
      <x:c r="B26" s="38" t="n">
        <x:v>2000</x:v>
      </x:c>
      <x:c r="C26" s="38" t="n">
        <x:v>0</x:v>
      </x:c>
      <x:c r="D26" s="38" t="n">
        <x:v>0</x:v>
      </x:c>
      <x:c r="E26" s="27" t="n">
        <x:f>B26+C26/20+D26/240</x:f>
        <x:v>2000</x:v>
      </x:c>
      <x:c r="F26" s="2"/>
      <x:c r="G26" s="10"/>
    </x:row>
    <x:row r="27" ht="23" customHeight="1">
      <x:c r="A27" s="2" t="str">
        <x:v>Dublin 1</x:v>
      </x:c>
      <x:c r="B27" s="38" t="n">
        <x:v>1752</x:v>
      </x:c>
      <x:c r="C27" s="38" t="n">
        <x:v>17</x:v>
      </x:c>
      <x:c r="D27" s="38" t="n">
        <x:v>5</x:v>
      </x:c>
      <x:c r="E27" s="27" t="n">
        <x:f>B27+C27/20+D27/240</x:f>
        <x:v>1752.8708333333332</x:v>
      </x:c>
      <x:c r="F27" s="2"/>
      <x:c r="G27" s="10"/>
    </x:row>
    <x:row r="28" ht="23" customHeight="1">
      <x:c r="A28" s="2" t="str">
        <x:v>Dublin 2</x:v>
      </x:c>
      <x:c r="B28" s="38" t="n">
        <x:v>288</x:v>
      </x:c>
      <x:c r="C28" s="38" t="n">
        <x:v>5</x:v>
      </x:c>
      <x:c r="D28" s="38" t="n">
        <x:v>5</x:v>
      </x:c>
      <x:c r="E28" s="27" t="n">
        <x:f>B28+C28/20+D28/240</x:f>
        <x:v>288.2708333333333</x:v>
      </x:c>
      <x:c r="F28" s="2"/>
      <x:c r="G28" s="10"/>
    </x:row>
    <x:row r="29" ht="23" customHeight="1">
      <x:c r="A29" s="2" t="str">
        <x:v>Dublin 3</x:v>
      </x:c>
      <x:c r="B29" s="38" t="n">
        <x:v>2108</x:v>
      </x:c>
      <x:c r="C29" s="38" t="n">
        <x:v>1</x:v>
      </x:c>
      <x:c r="D29" s="38" t="n">
        <x:v>3</x:v>
      </x:c>
      <x:c r="E29" s="27" t="n">
        <x:f>B29+C29/20+D29/240</x:f>
        <x:v>2108.0625</x:v>
      </x:c>
      <x:c r="F29" s="2"/>
      <x:c r="G29" s="10"/>
    </x:row>
    <x:row r="30" ht="23" customHeight="1">
      <x:c r="A30" s="2" t="str">
        <x:v>Dublin 4</x:v>
      </x:c>
      <x:c r="B30" s="38" t="n">
        <x:v>1035</x:v>
      </x:c>
      <x:c r="C30" s="38" t="n">
        <x:v>5</x:v>
      </x:c>
      <x:c r="D30" s="38" t="n">
        <x:v>5</x:v>
      </x:c>
      <x:c r="E30" s="27" t="n">
        <x:f>B30+C30/20+D30/240</x:f>
        <x:v>1035.2708333333333</x:v>
      </x:c>
      <x:c r="F30" s="2"/>
      <x:c r="G30" s="10"/>
    </x:row>
    <x:row r="31" ht="23" customHeight="1">
      <x:c r="A31" s="2" t="str">
        <x:v>Ennis</x:v>
      </x:c>
      <x:c r="B31" s="38" t="n">
        <x:v>730</x:v>
      </x:c>
      <x:c r="C31" s="38" t="n">
        <x:v>9</x:v>
      </x:c>
      <x:c r="D31" s="38" t="n">
        <x:v>6</x:v>
      </x:c>
      <x:c r="E31" s="27" t="n">
        <x:f>B31+C31/20+D31/240</x:f>
        <x:v>730.475</x:v>
      </x:c>
      <x:c r="F31" s="2"/>
      <x:c r="G31" s="10"/>
    </x:row>
    <x:row r="32" ht="23" customHeight="1">
      <x:c r="A32" s="2" t="str">
        <x:v>Kilworth</x:v>
      </x:c>
      <x:c r="B32" s="38" t="n">
        <x:v>1736</x:v>
      </x:c>
      <x:c r="C32" s="38" t="n">
        <x:v>8</x:v>
      </x:c>
      <x:c r="D32" s="38" t="n">
        <x:v>4</x:v>
      </x:c>
      <x:c r="E32" s="27" t="n">
        <x:f>B32+C32/20+D32/240</x:f>
        <x:v>1736.4166666666667</x:v>
      </x:c>
      <x:c r="F32" s="2"/>
      <x:c r="G32" s="10"/>
    </x:row>
    <x:row r="33" ht="23" customHeight="1">
      <x:c r="A33" s="2" t="str">
        <x:v>Fermoy district</x:v>
      </x:c>
      <x:c r="B33" s="38" t="n">
        <x:v>429</x:v>
      </x:c>
      <x:c r="C33" s="38" t="n">
        <x:v>7</x:v>
      </x:c>
      <x:c r="D33" s="38" t="n">
        <x:v>2</x:v>
      </x:c>
      <x:c r="E33" s="27" t="n">
        <x:f>B33+C33/20+D33/240</x:f>
        <x:v>429.35833333333335</x:v>
      </x:c>
      <x:c r="F33" s="2"/>
      <x:c r="G33" s="10"/>
    </x:row>
    <x:row r="34" ht="23" customHeight="1">
      <x:c r="A34" s="2" t="str">
        <x:v>Glen Imaal</x:v>
      </x:c>
      <x:c r="B34" s="38" t="n">
        <x:v>1049</x:v>
      </x:c>
      <x:c r="C34" s="38" t="n">
        <x:v>19</x:v>
      </x:c>
      <x:c r="D34" s="38" t="n">
        <x:v>4</x:v>
      </x:c>
      <x:c r="E34" s="27" t="n">
        <x:f>B34+C34/20+D34/240</x:f>
        <x:v>1049.9666666666667</x:v>
      </x:c>
      <x:c r="F34" s="2"/>
      <x:c r="G34" s="10"/>
    </x:row>
    <x:row r="35" ht="23" customHeight="1">
      <x:c r="A35" s="2" t="str">
        <x:v>Kilbride</x:v>
      </x:c>
      <x:c r="B35" s="38" t="n">
        <x:v>250</x:v>
      </x:c>
      <x:c r="C35" s="38" t="n">
        <x:v>0</x:v>
      </x:c>
      <x:c r="D35" s="38" t="n">
        <x:v>0</x:v>
      </x:c>
      <x:c r="E35" s="27" t="n">
        <x:f>B35+C35/20+D35/240</x:f>
        <x:v>250</x:v>
      </x:c>
      <x:c r="F35" s="2"/>
      <x:c r="G35" s="10"/>
    </x:row>
    <x:row r="36" ht="23" customHeight="1">
      <x:c r="A36" s="2" t="str">
        <x:v>Kilkenny</x:v>
      </x:c>
      <x:c r="B36" s="38" t="n">
        <x:v>495</x:v>
      </x:c>
      <x:c r="C36" s="38" t="n">
        <x:v>9</x:v>
      </x:c>
      <x:c r="D36" s="38" t="n">
        <x:v>0</x:v>
      </x:c>
      <x:c r="E36" s="27" t="n">
        <x:f>B36+C36/20+D36/240</x:f>
        <x:v>495.45</x:v>
      </x:c>
      <x:c r="F36" s="2"/>
      <x:c r="G36" s="10"/>
    </x:row>
    <x:row r="37" ht="23" customHeight="1">
      <x:c r="A37" s="2" t="str">
        <x:v>Longford</x:v>
      </x:c>
      <x:c r="B37" s="38" t="n">
        <x:v>1646</x:v>
      </x:c>
      <x:c r="C37" s="38" t="n">
        <x:v>8</x:v>
      </x:c>
      <x:c r="D37" s="38" t="n">
        <x:v>7</x:v>
      </x:c>
      <x:c r="E37" s="27" t="n">
        <x:f>B37+C37/20+D37/240</x:f>
        <x:v>1646.4291666666668</x:v>
      </x:c>
      <x:c r="F37" s="2"/>
      <x:c r="G37" s="10"/>
    </x:row>
    <x:row r="38" ht="23" customHeight="1">
      <x:c r="A38" s="2" t="str">
        <x:v>Lusk 1</x:v>
      </x:c>
      <x:c r="B38" s="38" t="n">
        <x:v>171</x:v>
      </x:c>
      <x:c r="C38" s="38" t="n">
        <x:v>10</x:v>
      </x:c>
      <x:c r="D38" s="38" t="n">
        <x:v>1</x:v>
      </x:c>
      <x:c r="E38" s="27" t="n">
        <x:f>B38+C38/20+D38/240</x:f>
        <x:v>171.50416666666666</x:v>
      </x:c>
      <x:c r="F38" s="2"/>
      <x:c r="G38" s="10"/>
    </x:row>
    <x:row r="39" ht="23" customHeight="1">
      <x:c r="A39" s="2" t="str">
        <x:v>Lusk 2</x:v>
      </x:c>
      <x:c r="B39" s="38" t="n">
        <x:v>400</x:v>
      </x:c>
      <x:c r="C39" s="38" t="n">
        <x:v>0</x:v>
      </x:c>
      <x:c r="D39" s="38" t="n">
        <x:v>0</x:v>
      </x:c>
      <x:c r="E39" s="27" t="n">
        <x:f>B39+C39/20+D39/240</x:f>
        <x:v>400</x:v>
      </x:c>
      <x:c r="F39" s="2"/>
      <x:c r="G39" s="10"/>
    </x:row>
    <x:row r="40" ht="23" customHeight="1">
      <x:c r="A40" s="2" t="str">
        <x:v>Templemore</x:v>
      </x:c>
      <x:c r="B40" s="38" t="n">
        <x:v>1487</x:v>
      </x:c>
      <x:c r="C40" s="38" t="n">
        <x:v>5</x:v>
      </x:c>
      <x:c r="D40" s="38" t="n">
        <x:v>8</x:v>
      </x:c>
      <x:c r="E40" s="27" t="n">
        <x:f>B40+C40/20+D40/240</x:f>
        <x:v>1487.2833333333333</x:v>
      </x:c>
      <x:c r="F40" s="2"/>
      <x:c r="G40" s="10"/>
    </x:row>
    <x:row r="41" ht="23" customHeight="1">
      <x:c r="A41" s="2"/>
      <x:c r="B41" s="38"/>
      <x:c r="C41" s="38"/>
      <x:c r="D41" s="38"/>
      <x:c r="E41" s="27"/>
      <x:c r="F41" s="2"/>
      <x:c r="G41" s="10"/>
    </x:row>
    <x:row r="42" ht="23" customHeight="1">
      <x:c r="A42" s="2" t="str">
        <x:v>Fortifications: Part II</x:v>
      </x:c>
      <x:c r="B42" s="38" t="n">
        <x:v>1850</x:v>
      </x:c>
      <x:c r="C42" s="38" t="n">
        <x:v>6</x:v>
      </x:c>
      <x:c r="D42" s="38" t="n">
        <x:v>7</x:v>
      </x:c>
      <x:c r="E42" s="27" t="n">
        <x:f>B42+C42/20+D42/240</x:f>
        <x:v>1850.3291666666667</x:v>
      </x:c>
      <x:c r="F42" s="2"/>
      <x:c r="G42" s="10"/>
    </x:row>
    <x:row r="43" ht="23" customHeight="1">
      <x:c r="A43" s="2" t="str">
        <x:v>Fortifications: Part III</x:v>
      </x:c>
      <x:c r="B43" s="38" t="n">
        <x:v>1758</x:v>
      </x:c>
      <x:c r="C43" s="38" t="n">
        <x:v>17</x:v>
      </x:c>
      <x:c r="D43" s="38" t="n">
        <x:v>4</x:v>
      </x:c>
      <x:c r="E43" s="27" t="n">
        <x:f>B43+C43/20+D43/240</x:f>
        <x:v>1758.8666666666666</x:v>
      </x:c>
      <x:c r="F43" s="2"/>
      <x:c r="G43" s="10"/>
    </x:row>
    <x:row r="44" ht="23" customHeight="1">
      <x:c r="A44" s="2" t="str">
        <x:v>Ordnance buildings: Part II</x:v>
      </x:c>
      <x:c r="B44" s="38" t="n">
        <x:v>1226</x:v>
      </x:c>
      <x:c r="C44" s="38" t="n">
        <x:v>7</x:v>
      </x:c>
      <x:c r="D44" s="38" t="n">
        <x:v>1</x:v>
      </x:c>
      <x:c r="E44" s="27" t="n">
        <x:f>B44+C44/20+D44/240</x:f>
        <x:v>1226.3541666666665</x:v>
      </x:c>
      <x:c r="F44" s="2"/>
      <x:c r="G44" s="10"/>
    </x:row>
    <x:row r="45" ht="23" customHeight="1">
      <x:c r="A45" s="2" t="str">
        <x:v>Ordnance buildings: Part III</x:v>
      </x:c>
      <x:c r="B45" s="38" t="n">
        <x:v>1412</x:v>
      </x:c>
      <x:c r="C45" s="38" t="n">
        <x:v>14</x:v>
      </x:c>
      <x:c r="D45" s="38" t="n">
        <x:v>5</x:v>
      </x:c>
      <x:c r="E45" s="27" t="n">
        <x:f>B45+C45/20+D45/240</x:f>
        <x:v>1412.7208333333333</x:v>
      </x:c>
      <x:c r="F45" s="2"/>
      <x:c r="G45" s="10"/>
    </x:row>
    <x:row r="46" ht="23" customHeight="1">
      <x:c r="A46" s="2" t="str">
        <x:v>Barracks: Part II</x:v>
      </x:c>
      <x:c r="B46" s="38" t="n">
        <x:v>12812</x:v>
      </x:c>
      <x:c r="C46" s="38" t="n">
        <x:v>3</x:v>
      </x:c>
      <x:c r="D46" s="38" t="n">
        <x:v>2</x:v>
      </x:c>
      <x:c r="E46" s="27" t="n">
        <x:f>B46+C46/20+D46/240</x:f>
        <x:v>12812.158333333333</x:v>
      </x:c>
      <x:c r="F46" s="2"/>
      <x:c r="G46" s="10"/>
    </x:row>
    <x:row r="47" ht="23" customHeight="1">
      <x:c r="A47" s="2" t="str">
        <x:v>Barracks: Part III</x:v>
      </x:c>
      <x:c r="B47" s="38" t="n">
        <x:v>53263</x:v>
      </x:c>
      <x:c r="C47" s="38" t="n">
        <x:v>6</x:v>
      </x:c>
      <x:c r="D47" s="38" t="n">
        <x:v>4</x:v>
      </x:c>
      <x:c r="E47" s="27" t="n">
        <x:f>B47+C47/20+D47/240</x:f>
        <x:v>53263.31666666667</x:v>
      </x:c>
      <x:c r="F47" s="2"/>
      <x:c r="G47" s="10"/>
    </x:row>
    <x:row r="48" ht="23" customHeight="1">
      <x:c r="A48" s="2"/>
      <x:c r="B48" s="38"/>
      <x:c r="C48" s="38"/>
      <x:c r="D48" s="38"/>
      <x:c r="E48" s="27"/>
      <x:c r="F48" s="2"/>
      <x:c r="G48" s="10"/>
    </x:row>
    <x:row r="49" ht="23" customHeight="1">
      <x:c r="A49" s="14" t="str">
        <x:v>Selected works subtotal</x:v>
      </x:c>
      <x:c r="B49" s="39"/>
      <x:c r="C49" s="39"/>
      <x:c r="D49" s="39"/>
      <x:c r="E49" s="40" t="n">
        <x:f>SUM(E20:E40,E42:E47)</x:f>
        <x:v>100826.93333333333</x:v>
      </x:c>
      <x:c r="F49" s="2"/>
      <x:c r="G49" s="10"/>
    </x:row>
    <x:row r="50" ht="23" customHeight="1">
      <x:c r="A50" s="2"/>
      <x:c r="B50" s="38"/>
      <x:c r="C50" s="38"/>
      <x:c r="D50" s="38"/>
      <x:c r="E50" s="27"/>
      <x:c r="F50" s="2"/>
      <x:c r="G50" s="10"/>
    </x:row>
    <x:row r="51" ht="64" customHeight="1">
      <x:c r="A51" s="2" t="str">
        <x:v>Kilmainham Hospital</x:v>
      </x:c>
      <x:c r="B51" s="38" t="n">
        <x:v>5539</x:v>
      </x:c>
      <x:c r="C51" s="38" t="n">
        <x:v>19</x:v>
      </x:c>
      <x:c r="D51" s="38" t="n">
        <x:v>2</x:v>
      </x:c>
      <x:c r="E51" s="27" t="n">
        <x:f>B51+C51/20+D51/240</x:f>
        <x:v>5539.958333333333</x:v>
      </x:c>
      <x:c r="F51" s="2"/>
      <x:c r="G51" s="10" t="str">
        <x:v>Same HNAG source, p.7. Separate from works. Geography identifies the institution, not ultimate recipient residence.</x:v>
      </x:c>
    </x:row>
    <x:row r="52" ht="23" customHeight="1">
      <x:c r="A52" s="2"/>
      <x:c r="B52" s="2"/>
      <x:c r="C52" s="2"/>
      <x:c r="D52" s="2"/>
      <x:c r="E52" s="2"/>
      <x:c r="F52" s="2"/>
      <x:c r="G52" s="10"/>
    </x:row>
    <x:row r="53" ht="23" customHeight="1">
      <x:c r="A53" s="2"/>
      <x:c r="B53" s="2"/>
      <x:c r="C53" s="2"/>
      <x:c r="D53" s="2"/>
      <x:c r="E53" s="2"/>
      <x:c r="F53" s="2"/>
      <x:c r="G53" s="10"/>
    </x:row>
    <x:row r="54" ht="64" customHeight="1">
      <x:c r="A54" s="7" t="str">
        <x:v>Bank interest calculation</x:v>
      </x:c>
      <x:c r="B54" s="7" t="str">
        <x:v>Input / result</x:v>
      </x:c>
      <x:c r="C54" s="2"/>
      <x:c r="D54" s="2"/>
      <x:c r="E54" s="2"/>
      <x:c r="F54" s="2"/>
      <x:c r="G54" s="10" t="str">
        <x:v>Bank Act 1892, section 5. https://www.irishstatutebook.ie/eli/1892/act/48/enacted/en/print.html</x:v>
      </x:c>
    </x:row>
    <x:row r="55" ht="23" customHeight="1">
      <x:c r="A55" s="2" t="str">
        <x:v>Debt principal: whole pounds</x:v>
      </x:c>
      <x:c r="B55" s="38" t="n">
        <x:v>2630769</x:v>
      </x:c>
      <x:c r="C55" s="2"/>
      <x:c r="D55" s="2"/>
      <x:c r="E55" s="2"/>
      <x:c r="F55" s="2"/>
      <x:c r="G55" s="10"/>
    </x:row>
    <x:row r="56" ht="23" customHeight="1">
      <x:c r="A56" s="2" t="str">
        <x:v>Debt principal: shillings / pence</x:v>
      </x:c>
      <x:c r="B56" s="2" t="n">
        <x:v>4</x:v>
      </x:c>
      <x:c r="C56" s="2" t="n">
        <x:v>8</x:v>
      </x:c>
      <x:c r="D56" s="2"/>
      <x:c r="E56" s="2"/>
      <x:c r="F56" s="2"/>
      <x:c r="G56" s="10"/>
    </x:row>
    <x:row r="57" ht="23" customHeight="1">
      <x:c r="A57" s="2" t="str">
        <x:v>Annual rate applicable in 1901</x:v>
      </x:c>
      <x:c r="B57" s="28" t="n">
        <x:v>0.0275</x:v>
      </x:c>
      <x:c r="C57" s="2"/>
      <x:c r="D57" s="2"/>
      <x:c r="E57" s="2"/>
      <x:c r="F57" s="2"/>
      <x:c r="G57" s="10"/>
    </x:row>
    <x:row r="58" ht="64" customHeight="1">
      <x:c r="A58" s="2" t="str">
        <x:v>Annual contractual interest (£)</x:v>
      </x:c>
      <x:c r="B58" s="27" t="n">
        <x:f>(B55+B56/20+C56/240)*B57</x:f>
        <x:v>72346.15391666666</x:v>
      </x:c>
      <x:c r="C58" s="2"/>
      <x:c r="D58" s="2"/>
      <x:c r="E58" s="2"/>
      <x:c r="F58" s="2"/>
      <x:c r="G58" s="10" t="str">
        <x:v>Interest belongs in public-debt income (Account row 16), not government services. It is only one recipient. Separate bank management fees require stock balances and overlap checks; section 4 also covers Irish Land Commission-funded fees.</x:v>
      </x:c>
    </x:row>
    <x:row r="59" ht="23" customHeight="1">
      <x:c r="A59" s="2"/>
      <x:c r="B59" s="2"/>
      <x:c r="C59" s="2"/>
      <x:c r="D59" s="2"/>
      <x:c r="E59" s="2"/>
      <x:c r="F59" s="2"/>
      <x:c r="G59" s="10"/>
    </x:row>
    <x:row r="60" ht="23" customHeight="1">
      <x:c r="A60" s="2"/>
      <x:c r="B60" s="2"/>
      <x:c r="C60" s="2"/>
      <x:c r="D60" s="2"/>
      <x:c r="E60" s="2"/>
      <x:c r="F60" s="2"/>
      <x:c r="G60" s="10"/>
    </x:row>
    <x:row r="61" ht="64" customHeight="1">
      <x:c r="A61" s="7" t="str">
        <x:v>Already inside Irish-services baseline</x:v>
      </x:c>
      <x:c r="B61" s="7" t="str">
        <x:v>Amount (£)</x:v>
      </x:c>
      <x:c r="C61" s="7" t="str">
        <x:v>Period</x:v>
      </x:c>
      <x:c r="D61" s="2"/>
      <x:c r="E61" s="2"/>
      <x:c r="F61" s="2"/>
      <x:c r="G61" s="10" t="str">
        <x:v>Do not add again as new inflows. HNAG fiscal transcription, pp.2–3. https://ceph.ie/wp-content/uploads/2024/04/Summary-of-revenue-and-expenditure-exchequer-issues-1901.pdf</x:v>
      </x:c>
    </x:row>
    <x:row r="62" ht="23" customHeight="1">
      <x:c r="A62" s="2" t="str">
        <x:v>Constabulary</x:v>
      </x:c>
      <x:c r="B62" s="38" t="n">
        <x:v>1341000</x:v>
      </x:c>
      <x:c r="C62" s="2" t="str">
        <x:v>1900–01</x:v>
      </x:c>
      <x:c r="D62" s="2"/>
      <x:c r="E62" s="2"/>
      <x:c r="F62" s="2"/>
      <x:c r="G62" s="10"/>
    </x:row>
    <x:row r="63" ht="23" customHeight="1">
      <x:c r="A63" s="2" t="str">
        <x:v>Dublin Metropolitan Police</x:v>
      </x:c>
      <x:c r="B63" s="38" t="n">
        <x:v>93000</x:v>
      </x:c>
      <x:c r="C63" s="2" t="str">
        <x:v>1900–01</x:v>
      </x:c>
      <x:c r="D63" s="2"/>
      <x:c r="E63" s="2"/>
      <x:c r="F63" s="2"/>
      <x:c r="G63" s="10"/>
    </x:row>
    <x:row r="64" ht="23" customHeight="1">
      <x:c r="A64" s="2" t="str">
        <x:v>Superannuation / retired allowances</x:v>
      </x:c>
      <x:c r="B64" s="38" t="n">
        <x:v>81000</x:v>
      </x:c>
      <x:c r="C64" s="2" t="str">
        <x:v>1900–01</x:v>
      </x:c>
      <x:c r="D64" s="2"/>
      <x:c r="E64" s="2"/>
      <x:c r="F64" s="2"/>
      <x:c r="G64" s="10"/>
    </x:row>
    <x:row r="65" ht="23" customHeight="1">
      <x:c r="A65" s="2" t="str">
        <x:v>Public works and buildings</x:v>
      </x:c>
      <x:c r="B65" s="38" t="n">
        <x:v>178000</x:v>
      </x:c>
      <x:c r="C65" s="2" t="str">
        <x:v>1900–01</x:v>
      </x:c>
      <x:c r="D65" s="2"/>
      <x:c r="E65" s="2"/>
      <x:c r="F65" s="2"/>
      <x:c r="G65" s="10"/>
    </x:row>
    <x:row r="66" ht="23" customHeight="1">
      <x:c r="A66" s="2" t="str">
        <x:v>Railways</x:v>
      </x:c>
      <x:c r="B66" s="38" t="n">
        <x:v>113000</x:v>
      </x:c>
      <x:c r="C66" s="2" t="str">
        <x:v>1900–01</x:v>
      </x:c>
      <x:c r="D66" s="2"/>
      <x:c r="E66" s="2"/>
      <x:c r="F66" s="2"/>
      <x:c r="G66" s="10"/>
    </x:row>
    <x:row r="67" ht="23" customHeight="1">
      <x:c r="A67" s="2"/>
      <x:c r="B67" s="2"/>
      <x:c r="C67" s="2"/>
      <x:c r="D67" s="2"/>
      <x:c r="E67" s="2"/>
      <x:c r="F67" s="2"/>
      <x:c r="G67" s="10"/>
    </x:row>
    <x:row r="68" ht="23" customHeight="1">
      <x:c r="A68" s="2"/>
      <x:c r="B68" s="2"/>
      <x:c r="C68" s="2"/>
      <x:c r="D68" s="2"/>
      <x:c r="E68" s="2"/>
      <x:c r="F68" s="2"/>
      <x:c r="G68" s="10"/>
    </x:row>
    <x:row r="69" ht="30" customHeight="1">
      <x:c r="A69" s="7" t="str">
        <x:v>Next evidence to obtain</x:v>
      </x:c>
      <x:c r="B69" s="7"/>
      <x:c r="C69" s="7"/>
      <x:c r="D69" s="7"/>
      <x:c r="E69" s="7"/>
      <x:c r="F69" s="2"/>
      <x:c r="G69" s="10" t="str">
        <x:v>Purpose</x:v>
      </x:c>
    </x:row>
    <x:row r="70" ht="64" customHeight="1">
      <x:c r="A70" s="2" t="str">
        <x:v>Army pay and local procurement</x:v>
      </x:c>
      <x:c r="B70" s="2"/>
      <x:c r="C70" s="2"/>
      <x:c r="D70" s="2"/>
      <x:c r="E70" s="2"/>
      <x:c r="F70" s="2"/>
      <x:c r="G70" s="10" t="str">
        <x:v>Obtain Irish district payments for 1900–01/1901–02, including local civilian wages. Troop counts alone do not identify retained receipts.</x:v>
      </x:c>
    </x:row>
    <x:row r="71" ht="64" customHeight="1">
      <x:c r="A71" s="2" t="str">
        <x:v>Navy and coastguard</x:v>
      </x:c>
      <x:c r="B71" s="2"/>
      <x:c r="C71" s="2"/>
      <x:c r="D71" s="2"/>
      <x:c r="E71" s="2"/>
      <x:c r="F71" s="2"/>
      <x:c r="G71" s="10" t="str">
        <x:v>Obtain dockyard payroll, local purchases and works outturn. 24 February 1904 Admiralty answer says accounts did not support a complete Irish breakdown.</x:v>
      </x:c>
    </x:row>
    <x:row r="72" ht="64" customHeight="1">
      <x:c r="A72" s="2" t="str">
        <x:v>Military and overseas pensions</x:v>
      </x:c>
      <x:c r="B72" s="2"/>
      <x:c r="C72" s="2"/>
      <x:c r="D72" s="2"/>
      <x:c r="E72" s="2"/>
      <x:c r="F72" s="2"/>
      <x:c r="G72" s="10" t="str">
        <x:v>Find payments by pensioner residence, including retired officers and foreign-government pensions. Exclude pensions already in the fiscal baseline.</x:v>
      </x:c>
    </x:row>
    <x:row r="73" ht="64" customHeight="1">
      <x:c r="A73" s="2" t="str">
        <x:v>Debt interest</x:v>
      </x:c>
      <x:c r="B73" s="2"/>
      <x:c r="C73" s="2"/>
      <x:c r="D73" s="2"/>
      <x:c r="E73" s="2"/>
      <x:c r="F73" s="2"/>
      <x:c r="G73" s="10" t="str">
        <x:v>Verify Bank of Ireland actual receipts; then identify other resident holdings. Schedule C assessment location is not sufficient evidence of residence.</x:v>
      </x:c>
    </x:row>
    <x:row r="74" ht="64" customHeight="1">
      <x:c r="A74" s="2" t="str">
        <x:v>Correct geographic scope</x:v>
      </x:c>
      <x:c r="B74" s="2"/>
      <x:c r="C74" s="2"/>
      <x:c r="D74" s="2"/>
      <x:c r="E74" s="2"/>
      <x:c r="F74" s="2"/>
      <x:c r="G74" s="10" t="str">
        <x:v>Reject army-wide pension and pay totals as Irish totals. The 26,963 troops observation is January 1903, not 1901.</x:v>
      </x:c>
    </x:row>
    <x:row r="75" ht="23" customHeight="1">
      <x:c r="A75" s="2"/>
      <x:c r="B75" s="2"/>
      <x:c r="C75" s="2"/>
      <x:c r="D75" s="2"/>
      <x:c r="E75" s="2"/>
      <x:c r="F75" s="2"/>
      <x:c r="G75" s="10"/>
    </x:row>
    <x:row r="76" ht="23" customHeight="1">
      <x:c r="A76" s="2"/>
      <x:c r="B76" s="2"/>
      <x:c r="C76" s="2"/>
      <x:c r="D76" s="2"/>
      <x:c r="E76" s="2"/>
      <x:c r="F76" s="2"/>
      <x:c r="G76" s="10"/>
    </x:row>
    <x:row r="77" ht="64" customHeight="1">
      <x:c r="A77" s="2"/>
      <x:c r="B77" s="2"/>
      <x:c r="C77" s="2"/>
      <x:c r="D77" s="2"/>
      <x:c r="E77" s="2"/>
      <x:c r="F77" s="2"/>
      <x:c r="G77" s="10" t="str">
        <x:v>Naval works source: Hansard 29 March 1901, cc240–242. https://api.parliament.uk/historic-hansard/commons/1901/mar/29/navy-estimates-1901-2</x:v>
      </x:c>
    </x:row>
    <x:row r="78" ht="23" customHeight="1">
      <x:c r="A78" s="2"/>
      <x:c r="B78" s="2"/>
      <x:c r="C78" s="2"/>
      <x:c r="D78" s="2"/>
      <x:c r="E78" s="2"/>
      <x:c r="F78" s="2"/>
      <x:c r="G78" s="10"/>
    </x:row>
    <x:row r="79" ht="64" customHeight="1">
      <x:c r="A79" s="2"/>
      <x:c r="B79" s="2"/>
      <x:c r="C79" s="2"/>
      <x:c r="D79" s="2"/>
      <x:c r="E79" s="2"/>
      <x:c r="F79" s="2"/>
      <x:c r="G79" s="10" t="str">
        <x:v>Admiralty accounting limitation: https://api.parliament.uk/historic-hansard/commons/1904/feb/24/average-amount-of-admiralty-vote-average</x:v>
      </x:c>
    </x:row>
    <x:row r="80" ht="23" customHeight="1">
      <x:c r="A80" s="2"/>
      <x:c r="B80" s="2"/>
      <x:c r="C80" s="2"/>
      <x:c r="D80" s="2"/>
      <x:c r="E80" s="2"/>
      <x:c r="F80" s="2"/>
      <x:c r="G80" s="2"/>
    </x:row>
    <x:row r="81" ht="23" customHeight="1">
      <x:c r="A81" s="2"/>
      <x:c r="B81" s="2"/>
      <x:c r="C81" s="2"/>
      <x:c r="D81" s="2"/>
      <x:c r="E81" s="2"/>
      <x:c r="F81" s="2"/>
      <x:c r="G81" s="2"/>
    </x:row>
    <x:row r="82" ht="23" customHeight="1">
      <x:c r="A82" s="2"/>
      <x:c r="B82" s="2"/>
      <x:c r="C82" s="2"/>
      <x:c r="D82" s="2"/>
      <x:c r="E82" s="2"/>
      <x:c r="F82" s="2"/>
      <x:c r="G82" s="2"/>
    </x:row>
    <x:row r="83" ht="23" customHeight="1">
      <x:c r="A83" s="2"/>
      <x:c r="B83" s="2"/>
      <x:c r="C83" s="2"/>
      <x:c r="D83" s="2"/>
      <x:c r="E83" s="2"/>
      <x:c r="F83" s="2"/>
      <x:c r="G83" s="2"/>
    </x:row>
    <x:row r="84" ht="23" customHeight="1">
      <x:c r="A84" s="2"/>
      <x:c r="B84" s="2"/>
      <x:c r="C84" s="2"/>
      <x:c r="D84" s="2"/>
      <x:c r="E84" s="2"/>
      <x:c r="F84" s="2"/>
      <x:c r="G84" s="2"/>
    </x:row>
    <x:row r="85" ht="23" customHeight="1">
      <x:c r="A85" s="2"/>
      <x:c r="B85" s="2"/>
      <x:c r="C85" s="2"/>
      <x:c r="D85" s="2"/>
      <x:c r="E85" s="2"/>
      <x:c r="F85" s="2"/>
      <x:c r="G85" s="2"/>
    </x:row>
    <x:row r="86" ht="23" customHeight="1">
      <x:c r="A86" s="2"/>
      <x:c r="B86" s="2"/>
      <x:c r="C86" s="2"/>
      <x:c r="D86" s="2"/>
      <x:c r="E86" s="2"/>
      <x:c r="F86" s="2"/>
      <x:c r="G86" s="2"/>
    </x:row>
    <x:row r="87" ht="23" customHeight="1">
      <x:c r="A87" s="2"/>
      <x:c r="B87" s="2"/>
      <x:c r="C87" s="2"/>
      <x:c r="D87" s="2"/>
      <x:c r="E87" s="2"/>
      <x:c r="F87" s="2"/>
      <x:c r="G87" s="2"/>
    </x:row>
    <x:row r="88" ht="23" customHeight="1">
      <x:c r="A88" s="2"/>
      <x:c r="B88" s="2"/>
      <x:c r="C88" s="2"/>
      <x:c r="D88" s="2"/>
      <x:c r="E88" s="2"/>
      <x:c r="F88" s="2"/>
      <x:c r="G88" s="2"/>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57" hidden="0" customWidth="1"/>
    <x:col min="2" max="2" width="20" hidden="0" customWidth="1"/>
    <x:col min="3" max="3" width="4" hidden="0" customWidth="1"/>
    <x:col min="4" max="4" width="100" hidden="0" customWidth="1"/>
  </x:cols>
  <x:sheetData>
    <x:row r="1" ht="23" customHeight="1">
      <x:c r="A1" s="2"/>
      <x:c r="B1" s="2"/>
      <x:c r="C1" s="2"/>
      <x:c r="D1" s="2"/>
    </x:row>
    <x:row r="2" ht="23" customHeight="1">
      <x:c r="A2" s="3" t="str">
        <x:v>Investment income: residence cross-check</x:v>
      </x:c>
      <x:c r="B2" s="2"/>
      <x:c r="C2" s="2"/>
      <x:c r="D2" s="2"/>
    </x:row>
    <x:row r="3" ht="23" customHeight="1">
      <x:c r="A3" s="4"/>
      <x:c r="B3" s="4"/>
      <x:c r="C3" s="4"/>
      <x:c r="D3" s="4"/>
    </x:row>
    <x:row r="4" ht="30" customHeight="1">
      <x:c r="A4" s="7" t="str">
        <x:v>Calculation / input</x:v>
      </x:c>
      <x:c r="B4" s="7" t="str">
        <x:v>Amount / share</x:v>
      </x:c>
      <x:c r="C4" s="2"/>
      <x:c r="D4" s="2" t="str">
        <x:v>Source / interpretation</x:v>
      </x:c>
    </x:row>
    <x:row r="5" ht="48" customHeight="1">
      <x:c r="A5" s="10" t="str">
        <x:v>UK Schedule C income, 1900–01</x:v>
      </x:c>
      <x:c r="B5" s="38" t="n">
        <x:v>41364917</x:v>
      </x:c>
      <x:c r="C5" s="2"/>
      <x:c r="D5" s="10" t="str">
        <x:v>45th Inland Revenue Report (1902), supplied transcription PDF p.7. Excludes specifically exempt government and charitable holdings.</x:v>
      </x:c>
    </x:row>
    <x:row r="6" ht="48" customHeight="1">
      <x:c r="A6" s="10" t="str">
        <x:v>UK Schedule D gross income, 1900–01</x:v>
      </x:c>
      <x:c r="B6" s="38" t="n">
        <x:v>466189836</x:v>
      </x:c>
      <x:c r="C6" s="2"/>
      <x:c r="D6" s="10" t="str">
        <x:v>Same source, PDF p.7. Gross income brought under review; not tax revenue.</x:v>
      </x:c>
    </x:row>
    <x:row r="7" ht="48" customHeight="1">
      <x:c r="A7" s="10" t="str">
        <x:v>Businesses and professions: Metropolis</x:v>
      </x:c>
      <x:c r="B7" s="38" t="n">
        <x:v>142000000</x:v>
      </x:c>
      <x:c r="C7" s="2"/>
      <x:c r="D7" s="10" t="str">
        <x:v>Same source, PDF p.9: rounded narrative figure; includes employee salaries.</x:v>
      </x:c>
    </x:row>
    <x:row r="8" ht="48" customHeight="1">
      <x:c r="A8" s="10" t="str">
        <x:v>Businesses and professions: rest of UK</x:v>
      </x:c>
      <x:c r="B8" s="38" t="n">
        <x:v>205000000</x:v>
      </x:c>
      <x:c r="C8" s="2"/>
      <x:c r="D8" s="10" t="str">
        <x:v>Same source, PDF p.9: rounded narrative figure.</x:v>
      </x:c>
    </x:row>
    <x:row r="9" ht="48" customHeight="1">
      <x:c r="A9" s="10" t="str">
        <x:v>Combined businesses and professions</x:v>
      </x:c>
      <x:c r="B9" s="38" t="n">
        <x:f>SUM(B7:B8)</x:f>
        <x:v>347000000</x:v>
      </x:c>
      <x:c r="C9" s="2"/>
      <x:c r="D9" s="10" t="str">
        <x:v>Proxy for the earlier trades-and-professions category. Classification and gross/net comparability remain provisional.</x:v>
      </x:c>
    </x:row>
    <x:row r="10" ht="48" customHeight="1">
      <x:c r="A10" s="10" t="str">
        <x:v>Proportion excluded</x:v>
      </x:c>
      <x:c r="B10" s="43" t="n">
        <x:v>0.8</x:v>
      </x:c>
      <x:c r="C10" s="2"/>
      <x:c r="D10" s="10" t="str">
        <x:v>1895 Commission evidence, PDF pp.54–55, questions 1052 and 1091: exclude four-fifths of trades and professions.</x:v>
      </x:c>
    </x:row>
    <x:row r="11" ht="48" customHeight="1">
      <x:c r="A11" s="10" t="str">
        <x:v>Eligible Schedule D base</x:v>
      </x:c>
      <x:c r="B11" s="38" t="n">
        <x:f>B6-B9*B10</x:f>
        <x:v>188589836</x:v>
      </x:c>
      <x:c r="C11" s="2"/>
      <x:c r="D11" s="10" t="str">
        <x:v>Schedule D less the excluded proportion of businesses and professions.</x:v>
      </x:c>
    </x:row>
    <x:row r="12" ht="48" customHeight="1">
      <x:c r="A12" s="10" t="str">
        <x:v>Combined C and eligible D base</x:v>
      </x:c>
      <x:c r="B12" s="38" t="n">
        <x:f>B5+B11</x:f>
        <x:v>229954753</x:v>
      </x:c>
      <x:c r="C12" s="2"/>
      <x:c r="D12" s="10" t="str">
        <x:v>Approximate gross-income implementation of the historical method.</x:v>
      </x:c>
    </x:row>
    <x:row r="13" ht="48" customHeight="1">
      <x:c r="A13" s="10" t="str">
        <x:v>Irish net adjustment share</x:v>
      </x:c>
      <x:c r="B13" s="11" t="n">
        <x:v>0.002</x:v>
      </x:c>
      <x:c r="C13" s="2"/>
      <x:c r="D13" s="10" t="str">
        <x:v>1895 Commission, memorandum at PDF pp.37–38 and questions 1082–83 at PDF p.54. Based on 1889–90 probate resealing.</x:v>
      </x:c>
    </x:row>
    <x:row r="14" ht="48" customHeight="1">
      <x:c r="A14" s="10" t="str">
        <x:v>Calculated residence adjustment (£)</x:v>
      </x:c>
      <x:c r="B14" s="38" t="n">
        <x:f>B12*B13</x:f>
        <x:v>459909.506</x:v>
      </x:c>
      <x:c r="C14" s="2"/>
      <x:c r="D14" s="10" t="str">
        <x:v>Arithmetic result retained for reproducibility; source rounding does not support this precision.</x:v>
      </x:c>
    </x:row>
    <x:row r="15" ht="48" customHeight="1">
      <x:c r="A15" s="22" t="str">
        <x:v>Reported cross-check, nearest £10,000</x:v>
      </x:c>
      <x:c r="B15" s="39" t="n">
        <x:f>ROUND(B14,-4)</x:f>
        <x:v>460000</x:v>
      </x:c>
      <x:c r="C15" s="2"/>
      <x:c r="D15" s="10" t="str">
        <x:v>Positive net reallocation to Irish residents. Excluded from Account totals.</x:v>
      </x:c>
    </x:row>
    <x:row r="16" ht="48" customHeight="1">
      <x:c r="A16" s="10"/>
      <x:c r="B16" s="2"/>
      <x:c r="C16" s="2"/>
      <x:c r="D16" s="10"/>
    </x:row>
    <x:row r="17" ht="48" customHeight="1">
      <x:c r="A17" s="10"/>
      <x:c r="B17" s="2"/>
      <x:c r="C17" s="2"/>
      <x:c r="D17" s="10"/>
    </x:row>
    <x:row r="18" ht="65" customHeight="1">
      <x:c r="A18" s="10" t="str">
        <x:v>What this measures</x:v>
      </x:c>
      <x:c r="B18" s="2"/>
      <x:c r="C18" s="2"/>
      <x:c r="D18" s="10" t="str">
        <x:v>A provisional net residence correction to tax-assessed income. Assessment location is not income origin. Do not add this to gross overseas receipts or combine mechanically with separately estimated outflows.</x:v>
      </x:c>
    </x:row>
    <x:row r="19" ht="65" customHeight="1">
      <x:c r="A19" s="10" t="str">
        <x:v>Historical assumptions</x:v>
      </x:c>
      <x:c r="B19" s="2"/>
      <x:c r="C19" s="2"/>
      <x:c r="D19" s="10" t="str">
        <x:v>Carries an 1889–90 ownership relationship forward to 1900–01. Uses gross figures from the revised 1902 reporting system; it is not an exact replication of the earlier tax-receipt adjustment.</x:v>
      </x:c>
    </x:row>
    <x:row r="20" ht="65" customHeight="1">
      <x:c r="A20" s="10" t="str">
        <x:v>Next source check</x:v>
      </x:c>
      <x:c r="B20" s="2"/>
      <x:c r="C20" s="2"/>
      <x:c r="D20" s="10" t="str">
        <x:v>Original 1900–01 true-revenue adjustment now verified below. It reallocates tax receipts, not gross investment income; the gross-income calculation above remains a separate provisional cross-check.</x:v>
      </x:c>
    </x:row>
    <x:row r="21" ht="48" customHeight="1">
      <x:c r="A21" s="10"/>
      <x:c r="B21" s="2"/>
      <x:c r="C21" s="2"/>
      <x:c r="D21" s="10"/>
    </x:row>
    <x:row r="22" ht="48" customHeight="1">
      <x:c r="A22" s="10"/>
      <x:c r="B22" s="2"/>
      <x:c r="C22" s="2"/>
      <x:c r="D22" s="10"/>
    </x:row>
    <x:row r="23" ht="48" customHeight="1">
      <x:c r="A23" s="7" t="str">
        <x:v>Probate property passing in 1889–90</x:v>
      </x:c>
      <x:c r="B23" s="7" t="str">
        <x:v>Capital value (£)</x:v>
      </x:c>
      <x:c r="C23" s="2"/>
      <x:c r="D23" s="10" t="str">
        <x:v>1895 Commission, PDF p.37, resealing table. Estates passing at death, not total investment stocks.</x:v>
      </x:c>
    </x:row>
    <x:row r="24" ht="48" customHeight="1">
      <x:c r="A24" s="10" t="str">
        <x:v>English property: Irish-domiciled estates</x:v>
      </x:c>
      <x:c r="B24" s="38" t="n">
        <x:v>779147</x:v>
      </x:c>
      <x:c r="C24" s="2"/>
      <x:c r="D24" s="10"/>
    </x:row>
    <x:row r="25" ht="48" customHeight="1">
      <x:c r="A25" s="10" t="str">
        <x:v>Irish property: English-domiciled estates</x:v>
      </x:c>
      <x:c r="B25" s="38" t="n">
        <x:v>449353</x:v>
      </x:c>
      <x:c r="C25" s="2"/>
      <x:c r="D25" s="10"/>
    </x:row>
    <x:row r="26" ht="48" customHeight="1">
      <x:c r="A26" s="10" t="str">
        <x:v>Scottish property: Irish-domiciled estates</x:v>
      </x:c>
      <x:c r="B26" s="38" t="n">
        <x:v>20454</x:v>
      </x:c>
      <x:c r="C26" s="2"/>
      <x:c r="D26" s="10"/>
    </x:row>
    <x:row r="27" ht="48" customHeight="1">
      <x:c r="A27" s="10" t="str">
        <x:v>Irish property: Scottish-domiciled estates</x:v>
      </x:c>
      <x:c r="B27" s="38" t="n">
        <x:v>44682</x:v>
      </x:c>
      <x:c r="C27" s="2"/>
      <x:c r="D27" s="10"/>
    </x:row>
    <x:row r="28" ht="48" customHeight="1">
      <x:c r="A28" s="10"/>
      <x:c r="B28" s="2"/>
      <x:c r="C28" s="2"/>
      <x:c r="D28" s="10"/>
    </x:row>
    <x:row r="29" ht="65" customHeight="1">
      <x:c r="A29" s="10" t="str">
        <x:v>Using these ownership observations</x:v>
      </x:c>
      <x:c r="B29" s="2"/>
      <x:c r="C29" s="2"/>
      <x:c r="D29" s="10" t="str">
        <x:v>Separate directions are available, but capitalising one year of deaths requires mortality/estate multipliers, representative yields and coverage adjustments. Do not treat these estate values as annual income or as the total assets of living residents.</x:v>
      </x:c>
    </x:row>
    <x:row r="30" ht="65" customHeight="1">
      <x:c r="A30" s="10" t="str">
        <x:v>Interpretation of English property</x:v>
      </x:c>
      <x:c r="B30" s="2"/>
      <x:c r="C30" s="2"/>
      <x:c r="D30" s="10" t="str">
        <x:v>The memorandum defines this in terms of assessment in England. It need not represent assets economically located outside Ireland.</x:v>
      </x:c>
    </x:row>
    <x:row r="31" ht="65" customHeight="1">
      <x:c r="A31" s="10" t="str">
        <x:v>Commission source</x:v>
      </x:c>
      <x:c r="B31" s="2"/>
      <x:c r="C31" s="2"/>
      <x:c r="D31" s="10" t="str">
        <x:v>Royal Commission on Financial Relations between Great Britain and Ireland, First Report and evidence, 1895, C.7720-I. Supplied BPP_1895-072630_financial relations.pdf. PDF pp.37–38, 54–55.</x:v>
      </x:c>
    </x:row>
    <x:row r="32" ht="65" customHeight="1">
      <x:c r="A32" s="10" t="str">
        <x:v>Income-tax source</x:v>
      </x:c>
      <x:c r="B32" s="2"/>
      <x:c r="C32" s="2"/>
      <x:c r="D32" s="10" t="str">
        <x:v>45th Report of the Commissioners of Inland Revenue, year ended 31 March 1902, BPP 1902 XXII. Supplied transcription, PDF pp.7 and 9. Figures relate to 1900–01.</x:v>
      </x:c>
    </x:row>
    <x:row r="33" ht="23" customHeight="1">
      <x:c r="A33" s="2"/>
      <x:c r="B33" s="2"/>
      <x:c r="C33" s="2"/>
      <x:c r="D33" s="2"/>
    </x:row>
    <x:row r="34" ht="23" customHeight="1">
      <x:c r="A34" s="2"/>
      <x:c r="B34" s="2"/>
      <x:c r="C34" s="2"/>
      <x:c r="D34" s="2"/>
    </x:row>
    <x:row r="35" ht="78" customHeight="1">
      <x:c r="A35" s="7" t="str">
        <x:v>Original revenue adjustment, 1900–01</x:v>
      </x:c>
      <x:c r="B35" s="7" t="str">
        <x:v>Tax revenue (£)</x:v>
      </x:c>
      <x:c r="C35" s="2"/>
      <x:c r="D35" s="10" t="str">
        <x:v>RevenueAndExpenditure1901-000393_complete.pdf: second report, H.C.90, printed pp.6–7 / PDF pp.18–19. Values rounded to £1,000 in source.</x:v>
      </x:c>
    </x:row>
    <x:row r="36" ht="54" customHeight="1">
      <x:c r="A36" s="10" t="str">
        <x:v>Ireland: income tax collected</x:v>
      </x:c>
      <x:c r="B36" s="38" t="n">
        <x:v>949000</x:v>
      </x:c>
      <x:c r="C36" s="2"/>
      <x:c r="D36" s="10"/>
    </x:row>
    <x:row r="37" ht="54" customHeight="1">
      <x:c r="A37" s="10" t="str">
        <x:v>Ireland: income tax attributed</x:v>
      </x:c>
      <x:c r="B37" s="38" t="n">
        <x:v>975000</x:v>
      </x:c>
      <x:c r="C37" s="2"/>
      <x:c r="D37" s="10"/>
    </x:row>
    <x:row r="38" ht="78" customHeight="1">
      <x:c r="A38" s="10" t="str">
        <x:v>Net addition to Irish tax contribution</x:v>
      </x:c>
      <x:c r="B38" s="38" t="n">
        <x:f>B37-B36</x:f>
        <x:v>26000</x:v>
      </x:c>
      <x:c r="C38" s="2"/>
      <x:c r="D38" s="10" t="str">
        <x:v>Tax reallocation only. Already reflected in attributed revenue; do not add to investment receipts or fiscal residual.</x:v>
      </x:c>
    </x:row>
    <x:row r="39" ht="54" customHeight="1">
      <x:c r="A39" s="10" t="str">
        <x:v>C and investment D: collected</x:v>
      </x:c>
      <x:c r="B39" s="38" t="n">
        <x:v>227000</x:v>
      </x:c>
      <x:c r="C39" s="2"/>
      <x:c r="D39" s="10"/>
    </x:row>
    <x:row r="40" ht="54" customHeight="1">
      <x:c r="A40" s="10" t="str">
        <x:v>C and investment D: attributed</x:v>
      </x:c>
      <x:c r="B40" s="38" t="n">
        <x:v>250000</x:v>
      </x:c>
      <x:c r="C40" s="2"/>
      <x:c r="D40" s="10"/>
    </x:row>
    <x:row r="41" ht="54" customHeight="1">
      <x:c r="A41" s="48" t="str">
        <x:v>C and investment D: net addition</x:v>
      </x:c>
      <x:c r="B41" s="49" t="n">
        <x:f>B40-B39</x:f>
        <x:v>23000</x:v>
      </x:c>
      <x:c r="C41"/>
      <x:c r="D41" s="48" t="str">
        <x:v>Combined category includes public companies, foreign dividends and coupons. Not a measure of overseas receipts.</x:v>
      </x:c>
    </x:row>
    <x:row r="42" ht="54" customHeight="1">
      <x:c r="A42" s="48" t="str">
        <x:v>Trades and professions D: collected</x:v>
      </x:c>
      <x:c r="B42" s="49" t="n">
        <x:v>182000</x:v>
      </x:c>
      <x:c r="C42"/>
      <x:c r="D42" s="48"/>
    </x:row>
    <x:row r="43" ht="54" customHeight="1">
      <x:c r="A43" s="48" t="str">
        <x:v>Trades and professions D: attributed</x:v>
      </x:c>
      <x:c r="B43" s="49" t="n">
        <x:v>185000</x:v>
      </x:c>
      <x:c r="C43"/>
      <x:c r="D43" s="48"/>
    </x:row>
    <x:row r="44" ht="54" customHeight="1">
      <x:c r="A44" s="48" t="str">
        <x:v>Trades and professions D: net addition</x:v>
      </x:c>
      <x:c r="B44" s="49" t="n">
        <x:f>B43-B42</x:f>
        <x:v>3000</x:v>
      </x:c>
      <x:c r="C44"/>
      <x:c r="D44" s="48"/>
    </x:row>
    <x:row r="45" ht="54" customHeight="1">
      <x:c r="A45" s="48" t="str">
        <x:v>Reconciliation difference</x:v>
      </x:c>
      <x:c r="B45" s="49" t="n">
        <x:f>B38-SUM(B41,B44)</x:f>
        <x:v>0</x:v>
      </x:c>
      <x:c r="C45"/>
      <x:c r="D45" s="48" t="str">
        <x:v>Zero confirms that the two adjustments explain the total income-tax addition.</x:v>
      </x:c>
    </x:row>
    <x:row r="46" ht="78" customHeight="1">
      <x:c r="A46" s="48" t="str">
        <x:v>Allocation method</x:v>
      </x:c>
      <x:c r="B46" s="49"/>
      <x:c r="C46"/>
      <x:c r="D46" s="48" t="str">
        <x:v>Printed p.7: probate-duty statistics, same percentages as prior year; trades/professions adjustment applies to one-fifth of total produce. Also allows for owners domiciled abroad.</x:v>
      </x:c>
    </x:row>
    <x:row r="47" ht="54" customHeight="1">
      <x:c r="A47" s="48"/>
      <x:c r="B47" s="49"/>
      <x:c r="D47" s="48"/>
    </x:row>
    <x:row r="48" ht="78" customHeight="1">
      <x:c r="A48" s="47" t="str">
        <x:v>Original investment assessments, 1900–01</x:v>
      </x:c>
      <x:c r="B48" s="50" t="str">
        <x:v>Income (£)</x:v>
      </x:c>
      <x:c r="C48"/>
      <x:c r="D48" s="48" t="str">
        <x:v>45InlandRevenue1902-002291_complete.pdf, printed/PDF p.197, Tables CXCII–CXCIV. Figures visually checked against original.</x:v>
      </x:c>
    </x:row>
    <x:row r="49" ht="54" customHeight="1">
      <x:c r="A49" s="48" t="str">
        <x:v>Foreign securities / possessions: persons</x:v>
      </x:c>
      <x:c r="B49" s="49" t="n">
        <x:v>58748</x:v>
      </x:c>
      <x:c r="C49"/>
      <x:c r="D49" s="48"/>
    </x:row>
    <x:row r="50" ht="54" customHeight="1">
      <x:c r="A50" s="48" t="str">
        <x:v>Foreign securities / possessions: companies</x:v>
      </x:c>
      <x:c r="B50" s="49" t="n">
        <x:v>4077</x:v>
      </x:c>
      <x:c r="C50"/>
      <x:c r="D50" s="48"/>
    </x:row>
    <x:row r="51" ht="54" customHeight="1">
      <x:c r="A51" s="48" t="str">
        <x:v>Foreign securities / possessions: agents</x:v>
      </x:c>
      <x:c r="B51" s="49" t="n">
        <x:v>1055</x:v>
      </x:c>
      <x:c r="C51"/>
      <x:c r="D51" s="48"/>
    </x:row>
    <x:row r="52" ht="54" customHeight="1">
      <x:c r="A52" s="48" t="str">
        <x:v>Coupons assessed in Ireland</x:v>
      </x:c>
      <x:c r="B52" s="49" t="n">
        <x:v>104884</x:v>
      </x:c>
      <x:c r="C52"/>
      <x:c r="D52" s="48" t="str">
        <x:v>Assessed on bankers and coupon dealers. Assessment location does not establish beneficial-owner residence.</x:v>
      </x:c>
    </x:row>
    <x:row r="53" ht="54" customHeight="1">
      <x:c r="A53" s="48" t="str">
        <x:v>Railways outside UK: Ireland assessments</x:v>
      </x:c>
      <x:c r="B53" s="49" t="n">
        <x:v>526</x:v>
      </x:c>
      <x:c r="C53"/>
      <x:c r="D53" s="48"/>
    </x:row>
    <x:row r="54" ht="78" customHeight="1">
      <x:c r="A54" s="48" t="str">
        <x:v>Total of these specified assessments</x:v>
      </x:c>
      <x:c r="B54" s="49" t="n">
        <x:f>SUM(B49:B53)</x:f>
        <x:v>169290</x:v>
      </x:c>
      <x:c r="C54"/>
      <x:c r="D54" s="48" t="str">
        <x:v>Partial assessed income, not all income received by Irish residents. Great Britain is outside Ireland for our reconstruction but inside the UK for these tax categories.</x:v>
      </x:c>
    </x:row>
    <x:row r="55" ht="78" customHeight="1">
      <x:c r="A55" s="48" t="str">
        <x:v>Land-purchase return received</x:v>
      </x:c>
      <x:c r="B55"/>
      <x:c r="C55"/>
      <x:c r="D55" s="48" t="str">
        <x:v>IrishLandCommission1902-001746_complete.pdf, H.C.334 (1902), year ended 31 March 1902. Scope at printed/PDF p.3; guarantee transfers p.271; labourers’ cottages p.272.</x:v>
      </x:c>
    </x:row>
    <x:row r="56" ht="78" customHeight="1">
      <x:c r="A56" s="48" t="str">
        <x:v>Land-purchase interpretation</x:v>
      </x:c>
      <x:c r="B56"/>
      <x:c r="C56"/>
      <x:c r="D56" s="48" t="str">
        <x:v>Holding-level purchase advances and default annuities do not establish a complete annual interest flow to nonresident creditors. Separate new advances and principal repayments from interest, and establish recipient residence before adding a BoP flow.</x:v>
      </x:c>
    </x:row>
    <x:row r="59" ht="78" customHeight="1">
      <x:c r="A59" s="47" t="str">
        <x:v>Estate-based investment evidence</x:v>
      </x:c>
      <x:c r="B59" s="47" t="str">
        <x:v>Capital (£)</x:v>
      </x:c>
      <x:c r="C59"/>
      <x:c r="D59" s="48" t="str">
        <x:v>45th Inland Revenue Report, 1902, printed/PDF p.86, Table LXVII. Irish column, 1901–02. Free personalty situated in the UK, passing under will or intestacy and subject to estate duty. Original image checked.</x:v>
      </x:c>
    </x:row>
    <x:row r="60" ht="78" customHeight="1">
      <x:c r="A60" s="48" t="str">
        <x:v>Stocks or funds of the United Kingdom</x:v>
      </x:c>
      <x:c r="B60" s="49" t="n">
        <x:v>279982</x:v>
      </x:c>
      <x:c r="C60"/>
      <x:c r="D60" s="48" t="str">
        <x:v>UK public securities; separate from private investment income in the BoP. Confirm geographical allocation and coverage.</x:v>
      </x:c>
    </x:row>
    <x:row r="61" ht="78" customHeight="1">
      <x:c r="A61" s="48" t="str">
        <x:v>Foreign / colonial government securities</x:v>
      </x:c>
      <x:c r="B61" s="49" t="n">
        <x:v>185444</x:v>
      </x:c>
      <x:c r="C61"/>
      <x:c r="D61" s="48" t="str">
        <x:v>Foreign countries, British dependencies and colonies. Legal situs within UK does not mean the issuer is domestic.</x:v>
      </x:c>
    </x:row>
    <x:row r="62" ht="78" customHeight="1">
      <x:c r="A62" s="48" t="str">
        <x:v>Public-company shares and debentures</x:v>
      </x:c>
      <x:c r="B62" s="49" t="n">
        <x:v>3741008</x:v>
      </x:c>
      <x:c r="C62"/>
      <x:c r="D62" s="48" t="str">
        <x:v>No Irish versus GB/overseas issuer split. Do not treat the entire row as external assets.</x:v>
      </x:c>
    </x:row>
    <x:row r="63" ht="78" customHeight="1">
      <x:c r="A63" s="48" t="str">
        <x:v>These three securities categories</x:v>
      </x:c>
      <x:c r="B63" s="49" t="n">
        <x:f>SUM(B60:B62)</x:f>
        <x:v>4206434</x:v>
      </x:c>
      <x:c r="C63"/>
      <x:c r="D63" s="48" t="str">
        <x:v>Capital passing through covered estates in one year. Not an aggregate portfolio stock or an annual income flow.</x:v>
      </x:c>
    </x:row>
    <x:row r="64" ht="78" customHeight="1">
      <x:c r="A64" s="48" t="str">
        <x:v>Total free personalty in Irish column</x:v>
      </x:c>
      <x:c r="B64" s="49" t="n">
        <x:v>8002253</x:v>
      </x:c>
      <x:c r="C64"/>
      <x:c r="D64" s="48" t="str">
        <x:v>Source control, includes cash, debts, insurance, household goods and other assets; not all income-producing.</x:v>
      </x:c>
    </x:row>
    <x:row r="65" ht="78" customHeight="1">
      <x:c r="A65" s="48" t="str">
        <x:v>Securities as share of free personalty</x:v>
      </x:c>
      <x:c r="B65" s="51" t="n">
        <x:f>B63/B64</x:f>
        <x:v>0.525656212069276</x:v>
      </x:c>
      <x:c r="C65"/>
      <x:c r="D65" s="48" t="str">
        <x:v>Composition of these estates only; not the share of Irish national wealth invested overseas.</x:v>
      </x:c>
    </x:row>
    <x:row r="66" ht="78" customHeight="1">
      <x:c r="A66" s="48" t="str">
        <x:v>Stage 1: verify ownership geography</x:v>
      </x:c>
      <x:c r="B66"/>
      <x:c r="C66"/>
      <x:c r="D66" s="48" t="str">
        <x:v>Primrose Cd.6799 (1913), QQ525–540: collection of personal-estate duty approximates domicile, not exactly. Real property follows situs. Supports an approximate ownership interpretation, but does not prove exact coverage of the 1902 table or BoP residence.</x:v>
      </x:c>
    </x:row>
    <x:row r="67" ht="78" customHeight="1">
      <x:c r="A67" s="48" t="str">
        <x:v>Stage 2: separate issuers and sectors</x:v>
      </x:c>
      <x:c r="B67"/>
      <x:c r="C67"/>
      <x:c r="D67" s="48" t="str">
        <x:v>Split public-company securities into Ireland, GB and elsewhere. Preserve UK public debt separately; identify settled assets, companies and institutions outside free personalty.</x:v>
      </x:c>
    </x:row>
    <x:row r="68" ht="78" customHeight="1">
      <x:c r="A68" s="48" t="str">
        <x:v>Stage 3: infer living owners’ portfolios</x:v>
      </x:c>
      <x:c r="B68"/>
      <x:c r="C68"/>
      <x:c r="D68" s="48" t="str">
        <x:v>Pool adjacent years, then use estate multipliers reflecting mortality of asset owners and coverage. Do not use the population death rate mechanically.</x:v>
      </x:c>
    </x:row>
    <x:row r="69" ht="78" customHeight="1">
      <x:c r="A69" s="48" t="str">
        <x:v>Stage 4: estimate annual receipts</x:v>
      </x:c>
      <x:c r="B69"/>
      <x:c r="C69"/>
      <x:c r="D69" s="48" t="str">
        <x:v>Apply category-specific yields to estimated external holdings, accounting for price-year differences. Reconcile bank and institutional income without double-counting.</x:v>
      </x:c>
    </x:row>
    <x:row r="70" ht="78" customHeight="1">
      <x:c r="A70" s="48" t="str">
        <x:v>Decision on old probate correction</x:v>
      </x:c>
      <x:c r="B70"/>
      <x:c r="C70"/>
      <x:c r="D70" s="48" t="str">
        <x:v>Retain the £460,000 gross-base calculation only as a historical tax-allocation cross-check. The 1889–90 resealing values identify assessment location, not necessarily asset origin; they cannot establish gross external receipts.</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9" hidden="0" customWidth="1"/>
    <x:col min="2" max="2" width="20" hidden="0" customWidth="1"/>
    <x:col min="3" max="3" width="20" hidden="0" customWidth="1"/>
    <x:col min="4" max="4" width="20" hidden="0" customWidth="1"/>
    <x:col min="5" max="5" width="20" hidden="0" customWidth="1"/>
    <x:col min="6" max="6" width="5" hidden="0" customWidth="1"/>
    <x:col min="7" max="7" width="100" hidden="0" customWidth="1"/>
  </x:cols>
  <x:sheetData>
    <x:row r="1" ht="23" customHeight="1">
      <x:c r="A1" s="2"/>
      <x:c r="B1" s="2"/>
      <x:c r="C1" s="2"/>
      <x:c r="D1" s="2"/>
      <x:c r="E1" s="2"/>
      <x:c r="F1" s="2"/>
      <x:c r="G1" s="2"/>
    </x:row>
    <x:row r="2" ht="23" customHeight="1">
      <x:c r="A2" s="3" t="str">
        <x:v>Estate-based securities income: conditional calculation</x:v>
      </x:c>
      <x:c r="B2" s="2"/>
      <x:c r="C2" s="2"/>
      <x:c r="D2" s="2"/>
      <x:c r="E2" s="2"/>
      <x:c r="F2" s="2"/>
      <x:c r="G2" s="2"/>
    </x:row>
    <x:row r="3" ht="23" customHeight="1">
      <x:c r="A3" s="4"/>
      <x:c r="B3" s="4"/>
      <x:c r="C3" s="4"/>
      <x:c r="D3" s="4"/>
      <x:c r="E3" s="4"/>
      <x:c r="F3" s="4"/>
      <x:c r="G3" s="4"/>
    </x:row>
    <x:row r="4" ht="23" customHeight="1">
      <x:c r="A4" s="10" t="str">
        <x:v>1901 reconstruction — provisional working scenario accepted by user</x:v>
      </x:c>
      <x:c r="B4" s="10"/>
      <x:c r="C4" s="10"/>
      <x:c r="D4" s="10"/>
      <x:c r="E4" s="10"/>
      <x:c r="F4" s="10"/>
      <x:c r="G4" s="10"/>
    </x:row>
    <x:row r="5" ht="23" customHeight="1">
      <x:c r="A5" s="10"/>
      <x:c r="B5" s="10"/>
      <x:c r="C5" s="10"/>
      <x:c r="D5" s="10"/>
      <x:c r="E5" s="10"/>
      <x:c r="F5" s="10"/>
      <x:c r="G5" s="10"/>
    </x:row>
    <x:row r="6" ht="82" customHeight="1">
      <x:c r="A6" s="7" t="str">
        <x:v>Age group</x:v>
      </x:c>
      <x:c r="B6" s="7" t="str">
        <x:v>1901 population</x:v>
      </x:c>
      <x:c r="C6" s="7" t="str">
        <x:v>1901 deaths</x:v>
      </x:c>
      <x:c r="D6" s="10"/>
      <x:c r="E6" s="10"/>
      <x:c r="F6" s="10"/>
      <x:c r="G6" s="10" t="str">
        <x:v>Source: 38th Registrar-General report for Ireland (1901), printed pp.109 and 170 / PDF pp.123 and 184. https://www.nisra.gov.uk/files/nisra/publications/1901.pdf</x:v>
      </x:c>
    </x:row>
    <x:row r="7" ht="23" customHeight="1">
      <x:c r="A7" s="10" t="str">
        <x:v>45–54</x:v>
      </x:c>
      <x:c r="B7" s="57" t="n">
        <x:v>413461</x:v>
      </x:c>
      <x:c r="C7" s="57" t="n">
        <x:v>6262</x:v>
      </x:c>
      <x:c r="D7" s="10"/>
      <x:c r="E7" s="10"/>
      <x:c r="F7" s="10"/>
      <x:c r="G7" s="10"/>
    </x:row>
    <x:row r="8" ht="23" customHeight="1">
      <x:c r="A8" s="10" t="str">
        <x:v>55–64</x:v>
      </x:c>
      <x:c r="B8" s="57" t="n">
        <x:v>351307</x:v>
      </x:c>
      <x:c r="C8" s="57" t="n">
        <x:v>10098</x:v>
      </x:c>
      <x:c r="D8" s="10"/>
      <x:c r="E8" s="10"/>
      <x:c r="F8" s="10"/>
      <x:c r="G8" s="10"/>
    </x:row>
    <x:row r="9" ht="23" customHeight="1">
      <x:c r="A9" s="10" t="str">
        <x:v>65–74</x:v>
      </x:c>
      <x:c r="B9" s="57" t="n">
        <x:v>190938</x:v>
      </x:c>
      <x:c r="C9" s="57" t="n">
        <x:v>11908</x:v>
      </x:c>
      <x:c r="D9" s="10"/>
      <x:c r="E9" s="10"/>
      <x:c r="F9" s="10"/>
      <x:c r="G9" s="10"/>
    </x:row>
    <x:row r="10" ht="23" customHeight="1">
      <x:c r="A10" s="10" t="str">
        <x:v>75–84</x:v>
      </x:c>
      <x:c r="B10" s="57" t="n">
        <x:v>78813</x:v>
      </x:c>
      <x:c r="C10" s="57" t="n">
        <x:v>10471</x:v>
      </x:c>
      <x:c r="D10" s="10"/>
      <x:c r="E10" s="10"/>
      <x:c r="F10" s="10"/>
      <x:c r="G10" s="10"/>
    </x:row>
    <x:row r="11" ht="23" customHeight="1">
      <x:c r="A11" s="10" t="str">
        <x:v>85–94</x:v>
      </x:c>
      <x:c r="B11" s="57" t="n">
        <x:v>13888</x:v>
      </x:c>
      <x:c r="C11" s="57" t="n">
        <x:v>3813</x:v>
      </x:c>
      <x:c r="D11" s="10"/>
      <x:c r="E11" s="10"/>
      <x:c r="F11" s="10"/>
      <x:c r="G11" s="10"/>
    </x:row>
    <x:row r="12" ht="23" customHeight="1">
      <x:c r="A12" s="10" t="str">
        <x:v>95 and over</x:v>
      </x:c>
      <x:c r="B12" s="57" t="n">
        <x:v>1867</x:v>
      </x:c>
      <x:c r="C12" s="57" t="n">
        <x:v>675</x:v>
      </x:c>
      <x:c r="D12" s="10"/>
      <x:c r="E12" s="10"/>
      <x:c r="F12" s="10"/>
      <x:c r="G12" s="10"/>
    </x:row>
    <x:row r="13" ht="23" customHeight="1">
      <x:c r="A13" s="10" t="str">
        <x:v>Total aged 45 and over</x:v>
      </x:c>
      <x:c r="B13" s="57" t="n">
        <x:f>SUM(B7:B12)</x:f>
        <x:v>1050274</x:v>
      </x:c>
      <x:c r="C13" s="57" t="n">
        <x:f>SUM(C7:C12)</x:f>
        <x:v>43227</x:v>
      </x:c>
      <x:c r="D13" s="10"/>
      <x:c r="E13" s="10"/>
      <x:c r="F13" s="10"/>
      <x:c r="G13" s="10"/>
    </x:row>
    <x:row r="14" ht="23" customHeight="1">
      <x:c r="A14" s="10"/>
      <x:c r="B14" s="10"/>
      <x:c r="C14" s="10"/>
      <x:c r="D14" s="10"/>
      <x:c r="E14" s="10"/>
      <x:c r="F14" s="10"/>
      <x:c r="G14" s="10"/>
    </x:row>
    <x:row r="15" ht="23" customHeight="1">
      <x:c r="A15" s="10" t="str">
        <x:v>Unadjusted population/deaths multiplier</x:v>
      </x:c>
      <x:c r="B15" s="53" t="n">
        <x:f>B13/C13</x:f>
        <x:v>24.296712702708955</x:v>
      </x:c>
      <x:c r="C15" s="10"/>
      <x:c r="D15" s="10"/>
      <x:c r="E15" s="10"/>
      <x:c r="F15" s="10"/>
      <x:c r="G15" s="10"/>
    </x:row>
    <x:row r="16" ht="82" customHeight="1">
      <x:c r="A16" s="10" t="str">
        <x:v>Nevin mortality-rate correction</x:v>
      </x:c>
      <x:c r="B16" s="54" t="n">
        <x:v>1.0142</x:v>
      </x:c>
      <x:c r="C16" s="10"/>
      <x:c r="D16" s="10"/>
      <x:c r="E16" s="10"/>
      <x:c r="F16" s="10"/>
      <x:c r="G16" s="10" t="str">
        <x:v>E. T. Nevin, The Ownership of Personal Property in Ireland (1961), pp.6–7, section 3 and footnote 24. Calibrated from 1953–55 Britain; transfer to 1901 is an assumption, not independently validated. https://www.esri.ie/system/files/publications/GRS1.pdf</x:v>
      </x:c>
    </x:row>
    <x:row r="17" ht="82" customHeight="1">
      <x:c r="A17" s="10" t="str">
        <x:v>Adjusted estate multiplier</x:v>
      </x:c>
      <x:c r="B17" s="53" t="n">
        <x:f>B15/B16</x:f>
        <x:v>23.956529977035057</x:v>
      </x:c>
      <x:c r="C17" s="10"/>
      <x:c r="D17" s="10"/>
      <x:c r="E17" s="10"/>
      <x:c r="F17" s="10"/>
      <x:c r="G17" s="10" t="str">
        <x:v>Population aged 45+ / deaths aged 45+ / correction. Uses reported ages and one year of deaths; assumes an appropriate wealth-age profile.</x:v>
      </x:c>
    </x:row>
    <x:row r="18" ht="23" customHeight="1">
      <x:c r="A18" s="10"/>
      <x:c r="B18" s="10"/>
      <x:c r="C18" s="10"/>
      <x:c r="D18" s="10"/>
      <x:c r="E18" s="10"/>
      <x:c r="F18" s="10"/>
      <x:c r="G18" s="10"/>
    </x:row>
    <x:row r="19" ht="23" customHeight="1">
      <x:c r="A19" s="10"/>
      <x:c r="B19" s="10"/>
      <x:c r="C19" s="10"/>
      <x:c r="D19" s="10"/>
      <x:c r="E19" s="10"/>
      <x:c r="F19" s="10"/>
      <x:c r="G19" s="10"/>
    </x:row>
    <x:row r="20" ht="82" customHeight="1">
      <x:c r="A20" s="7" t="str">
        <x:v>Category</x:v>
      </x:c>
      <x:c r="B20" s="7" t="str">
        <x:v>Estate capital (£)</x:v>
      </x:c>
      <x:c r="C20" s="7" t="str">
        <x:v>Implied stock (£)</x:v>
      </x:c>
      <x:c r="D20" s="7" t="str">
        <x:v>External fraction</x:v>
      </x:c>
      <x:c r="E20" s="7" t="str">
        <x:v>Cash yield</x:v>
      </x:c>
      <x:c r="F20" s="10"/>
      <x:c r="G20" s="10" t="str">
        <x:v>Interpretation</x:v>
      </x:c>
    </x:row>
    <x:row r="21" ht="82" customHeight="1">
      <x:c r="A21" s="10" t="str">
        <x:v>UK government securities</x:v>
      </x:c>
      <x:c r="B21" s="52" t="n">
        <x:f>'Investment cross-check'!B60</x:f>
        <x:v>279982</x:v>
      </x:c>
      <x:c r="C21" s="52" t="n">
        <x:f>B21*$B$17</x:f>
        <x:v>6707397.17603023</x:v>
      </x:c>
      <x:c r="D21" s="58" t="n">
        <x:v>1</x:v>
      </x:c>
      <x:c r="E21" s="58" t="n">
        <x:v>0.03</x:v>
      </x:c>
      <x:c r="F21" s="10"/>
      <x:c r="G21" s="10" t="str">
        <x:v>Scenario assumes Irish resident ownership and treats UK central-government debt as external. Yield is an illustrative market-value yield, not a measured 1901 portfolio yield.</x:v>
      </x:c>
    </x:row>
    <x:row r="22" ht="82" customHeight="1">
      <x:c r="A22" s="10" t="str">
        <x:v>Foreign/colonial government securities</x:v>
      </x:c>
      <x:c r="B22" s="52" t="n">
        <x:f>'Investment cross-check'!B61</x:f>
        <x:v>185444</x:v>
      </x:c>
      <x:c r="C22" s="52" t="n">
        <x:f>B22*$B$17</x:f>
        <x:v>4442594.7450612895</x:v>
      </x:c>
      <x:c r="D22" s="58" t="n">
        <x:v>1</x:v>
      </x:c>
      <x:c r="E22" s="58" t="n">
        <x:v>0.04</x:v>
      </x:c>
      <x:c r="F22" s="10"/>
      <x:c r="G22" s="10" t="str">
        <x:v>Scenario assumes Irish resident ownership; 4% illustrative cash yield, not observed.</x:v>
      </x:c>
    </x:row>
    <x:row r="23" ht="82" customHeight="1">
      <x:c r="A23" s="10" t="str">
        <x:v>Company shares and debentures</x:v>
      </x:c>
      <x:c r="B23" s="52" t="n">
        <x:f>'Investment cross-check'!B62</x:f>
        <x:v>3741008</x:v>
      </x:c>
      <x:c r="C23" s="52" t="n">
        <x:f>B23*$B$17</x:f>
        <x:v>89621570.29632796</x:v>
      </x:c>
      <x:c r="D23" s="58" t="n">
        <x:v>0.5</x:v>
      </x:c>
      <x:c r="E23" s="58" t="n">
        <x:v>0.04</x:v>
      </x:c>
      <x:c r="F23" s="10"/>
      <x:c r="G23" s="10" t="str">
        <x:v>50% external share and 4% cash yield are explicit illustrative assumptions. No empirical issuer split has yet been established.</x:v>
      </x:c>
    </x:row>
    <x:row r="24" ht="23" customHeight="1">
      <x:c r="A24" s="10"/>
      <x:c r="B24" s="52"/>
      <x:c r="C24" s="52"/>
      <x:c r="D24" s="10"/>
      <x:c r="E24" s="10"/>
      <x:c r="F24" s="10"/>
      <x:c r="G24" s="10"/>
    </x:row>
    <x:row r="25" ht="23" customHeight="1">
      <x:c r="A25" s="10" t="str">
        <x:v>Total implied securities stock</x:v>
      </x:c>
      <x:c r="B25" s="52"/>
      <x:c r="C25" s="52" t="n">
        <x:f>SUM(C21:C23)</x:f>
        <x:v>100771562.21741948</x:v>
      </x:c>
      <x:c r="D25" s="10"/>
      <x:c r="E25" s="10"/>
      <x:c r="F25" s="10"/>
      <x:c r="G25" s="10"/>
    </x:row>
    <x:row r="26" ht="23" customHeight="1">
      <x:c r="A26" s="10"/>
      <x:c r="B26" s="10"/>
      <x:c r="C26" s="10"/>
      <x:c r="D26" s="10"/>
      <x:c r="E26" s="10"/>
      <x:c r="F26" s="10"/>
      <x:c r="G26" s="10"/>
    </x:row>
    <x:row r="27" ht="23" customHeight="1">
      <x:c r="A27" s="10"/>
      <x:c r="B27" s="10"/>
      <x:c r="C27" s="10"/>
      <x:c r="D27" s="10"/>
      <x:c r="E27" s="10"/>
      <x:c r="F27" s="10"/>
      <x:c r="G27" s="10"/>
    </x:row>
    <x:row r="28" ht="82" customHeight="1">
      <x:c r="A28" s="7" t="str">
        <x:v>Income component</x:v>
      </x:c>
      <x:c r="B28" s="7" t="str">
        <x:v>Annual income (£)</x:v>
      </x:c>
      <x:c r="C28" s="10"/>
      <x:c r="D28" s="10"/>
      <x:c r="E28" s="10"/>
      <x:c r="F28" s="10"/>
      <x:c r="G28" s="10" t="str">
        <x:v>Household securities only; gross receipts before personal taxes.</x:v>
      </x:c>
    </x:row>
    <x:row r="29" ht="23" customHeight="1">
      <x:c r="A29" s="10" t="str">
        <x:v>UK government securities</x:v>
      </x:c>
      <x:c r="B29" s="52" t="n">
        <x:f>C21*D21*E21</x:f>
        <x:v>201221.9152809069</x:v>
      </x:c>
      <x:c r="C29" s="10"/>
      <x:c r="D29" s="10"/>
      <x:c r="E29" s="10"/>
      <x:c r="F29" s="10"/>
      <x:c r="G29" s="10"/>
    </x:row>
    <x:row r="30" ht="23" customHeight="1">
      <x:c r="A30" s="10" t="str">
        <x:v>Foreign/colonial government securities</x:v>
      </x:c>
      <x:c r="B30" s="52" t="n">
        <x:f>C22*D22*E22</x:f>
        <x:v>177703.7898024516</x:v>
      </x:c>
      <x:c r="C30" s="10"/>
      <x:c r="D30" s="10"/>
      <x:c r="E30" s="10"/>
      <x:c r="F30" s="10"/>
      <x:c r="G30" s="10"/>
    </x:row>
    <x:row r="31" ht="23" customHeight="1">
      <x:c r="A31" s="10" t="str">
        <x:v>Overseas company securities</x:v>
      </x:c>
      <x:c r="B31" s="52" t="n">
        <x:f>C23*D23*E23</x:f>
        <x:v>1792431.4059265594</x:v>
      </x:c>
      <x:c r="C31" s="10"/>
      <x:c r="D31" s="10"/>
      <x:c r="E31" s="10"/>
      <x:c r="F31" s="10"/>
      <x:c r="G31" s="10"/>
    </x:row>
    <x:row r="32" ht="23" customHeight="1">
      <x:c r="A32" s="10" t="str">
        <x:v>Conditional gross securities income</x:v>
      </x:c>
      <x:c r="B32" s="52" t="n">
        <x:f>SUM(B29:B31)</x:f>
        <x:v>2171357.1110099177</x:v>
      </x:c>
      <x:c r="C32" s="10"/>
      <x:c r="D32" s="10"/>
      <x:c r="E32" s="10"/>
      <x:c r="F32" s="10"/>
      <x:c r="G32" s="10"/>
    </x:row>
    <x:row r="33" ht="23" customHeight="1">
      <x:c r="A33" s="22" t="str">
        <x:v>Reported to nearest £100,000</x:v>
      </x:c>
      <x:c r="B33" s="56" t="n">
        <x:f>ROUND(B32,-5)</x:f>
        <x:v>2200000</x:v>
      </x:c>
      <x:c r="C33" s="10"/>
      <x:c r="D33" s="10"/>
      <x:c r="E33" s="10"/>
      <x:c r="F33" s="10"/>
      <x:c r="G33" s="10"/>
    </x:row>
    <x:row r="34" ht="23" customHeight="1">
      <x:c r="A34" s="10"/>
      <x:c r="B34" s="10"/>
      <x:c r="C34" s="10"/>
      <x:c r="D34" s="10"/>
      <x:c r="E34" s="10"/>
      <x:c r="F34" s="10"/>
      <x:c r="G34" s="10"/>
    </x:row>
    <x:row r="35" ht="23" customHeight="1">
      <x:c r="A35" s="10"/>
      <x:c r="B35" s="10"/>
      <x:c r="C35" s="10"/>
      <x:c r="D35" s="10"/>
      <x:c r="E35" s="10"/>
      <x:c r="F35" s="10"/>
      <x:c r="G35" s="10"/>
    </x:row>
    <x:row r="36" ht="82" customHeight="1">
      <x:c r="A36" s="7" t="str">
        <x:v>Sensitivity: company external share</x:v>
      </x:c>
      <x:c r="B36" s="7" t="str">
        <x:v>Annual income (£)</x:v>
      </x:c>
      <x:c r="C36" s="10"/>
      <x:c r="D36" s="10"/>
      <x:c r="E36" s="10"/>
      <x:c r="F36" s="10"/>
      <x:c r="G36" s="10" t="str">
        <x:v>Vary only company external share; retain multiplier and yields above. These are scenarios, not confidence bounds.</x:v>
      </x:c>
    </x:row>
    <x:row r="37" ht="23" customHeight="1">
      <x:c r="A37" s="55" t="n">
        <x:v>0.25</x:v>
      </x:c>
      <x:c r="B37" s="52" t="n">
        <x:f>SUM(B29:B30)+C23*A37*E23</x:f>
        <x:v>1275141.4080466381</x:v>
      </x:c>
      <x:c r="C37" s="10"/>
      <x:c r="D37" s="10"/>
      <x:c r="E37" s="10"/>
      <x:c r="F37" s="10"/>
      <x:c r="G37" s="10"/>
    </x:row>
    <x:row r="38" ht="23" customHeight="1">
      <x:c r="A38" s="55" t="n">
        <x:v>0.5</x:v>
      </x:c>
      <x:c r="B38" s="52" t="n">
        <x:f>SUM(B29:B30)+C23*A38*E23</x:f>
        <x:v>2171357.1110099177</x:v>
      </x:c>
      <x:c r="C38" s="10"/>
      <x:c r="D38" s="10"/>
      <x:c r="E38" s="10"/>
      <x:c r="F38" s="10"/>
      <x:c r="G38" s="10"/>
    </x:row>
    <x:row r="39" ht="23" customHeight="1">
      <x:c r="A39" s="55" t="n">
        <x:v>0.75</x:v>
      </x:c>
      <x:c r="B39" s="52" t="n">
        <x:f>SUM(B29:B30)+C23*A39*E23</x:f>
        <x:v>3067572.8139731977</x:v>
      </x:c>
      <x:c r="C39" s="10"/>
      <x:c r="D39" s="10"/>
      <x:c r="E39" s="10"/>
      <x:c r="F39" s="10"/>
      <x:c r="G39" s="10"/>
    </x:row>
    <x:row r="40" ht="23" customHeight="1">
      <x:c r="A40" s="10"/>
      <x:c r="B40" s="10"/>
      <x:c r="C40" s="10"/>
      <x:c r="D40" s="10"/>
      <x:c r="E40" s="10"/>
      <x:c r="F40" s="10"/>
      <x:c r="G40" s="10"/>
    </x:row>
    <x:row r="41" ht="23" customHeight="1">
      <x:c r="A41" s="10"/>
      <x:c r="B41" s="10"/>
      <x:c r="C41" s="10"/>
      <x:c r="D41" s="10"/>
      <x:c r="E41" s="10"/>
      <x:c r="F41" s="10"/>
      <x:c r="G41" s="10"/>
    </x:row>
    <x:row r="42" ht="82" customHeight="1">
      <x:c r="A42" s="10" t="str">
        <x:v>What remains unverified</x:v>
      </x:c>
      <x:c r="B42" s="10"/>
      <x:c r="C42" s="10"/>
      <x:c r="D42" s="10"/>
      <x:c r="E42" s="10"/>
      <x:c r="F42" s="10"/>
      <x:c r="G42" s="10" t="str">
        <x:v>Primrose QQ525–540 supports country of personal-estate duty collection as an approximation to domicile. Exact mapping of the 1902 Irish column and coverage remains to reconcile; domicile is not identical to BoP residence, nor legal asset situs to issuer residence.</x:v>
      </x:c>
    </x:row>
    <x:row r="43" ht="82" customHeight="1">
      <x:c r="A43" s="10" t="str">
        <x:v>Coverage limits</x:v>
      </x:c>
      <x:c r="B43" s="10"/>
      <x:c r="C43" s="10"/>
      <x:c r="D43" s="10"/>
      <x:c r="E43" s="10"/>
      <x:c r="F43" s="10"/>
      <x:c r="G43" s="10" t="str">
        <x:v>Only three categories of free personalty are modelled. Excludes direct bank/institutional external earnings, settled property, external mortgages/property and other assets. Irish residents’ shares in Irish banks are domestic and must not also be counted as external securities.</x:v>
      </x:c>
    </x:row>
    <x:row r="44" ht="82" customHeight="1">
      <x:c r="A44" s="10" t="str">
        <x:v>Period and sampling</x:v>
      </x:c>
      <x:c r="B44" s="10"/>
      <x:c r="C44" s="10"/>
      <x:c r="D44" s="10"/>
      <x:c r="E44" s="10"/>
      <x:c r="F44" s="10"/>
      <x:c r="G44" s="10" t="str">
        <x:v>Estate data: 1901–02; population and deaths: 1901. A pooled estate sample is preferable. Previously supplied 1901/1903 Inland Revenue PDFs are short income-tax extracts and do not supply the corresponding full estate tables.</x:v>
      </x:c>
    </x:row>
    <x:row r="45" ht="82" customHeight="1">
      <x:c r="A45" s="10" t="str">
        <x:v>Contemporary warning</x:v>
      </x:c>
      <x:c r="B45" s="10"/>
      <x:c r="C45" s="10"/>
      <x:c r="D45" s="10"/>
      <x:c r="E45" s="10"/>
      <x:c r="F45" s="10"/>
      <x:c r="G45" s="10" t="str">
        <x:v>Dublin Chamber of Commerce, The Financial Relations of Ireland with the Imperial Exchequer (1911), pp.25–28: institutional holdings omitted from estate evidence; Irish estates sometimes proved in England. Its 1910 bank figures are not adopted as 1901. https://archive.org/details/financialrelatio00dublrich</x:v>
      </x:c>
    </x:row>
    <x:row r="46" ht="82" customHeight="1">
      <x:c r="A46" s="10" t="str">
        <x:v>Primrose source obtained</x:v>
      </x:c>
      <x:c r="B46" s="10"/>
      <x:c r="C46" s="10"/>
      <x:c r="D46" s="10"/>
      <x:c r="E46" s="10"/>
      <x:c r="F46" s="10"/>
      <x:c r="G46" s="10" t="str">
        <x:v>Cd.6799 (1913), supplied Primrose PDF, examined: QQ525–576, QQ697–715, Soward note printed p.189, Appendix I p.191. The revised tax allocation uses 1898–99 to 1902–03 estate evidence. See Primrose evidence sheet for findings and next source target.</x:v>
      </x:c>
    </x:row>
    <x:row r="47" ht="82" customHeight="1">
      <x:c r="A47" s="10" t="str">
        <x:v>Decision</x:v>
      </x:c>
      <x:c r="B47" s="10"/>
      <x:c r="C47" s="10"/>
      <x:c r="D47" s="10"/>
      <x:c r="E47" s="10"/>
      <x:c r="F47" s="10"/>
      <x:c r="G47" s="10" t="str">
        <x:v>User accepted £2.2m as provisional working estimate on 13 October 2026. Account splits rounded amounts between other overseas securities (£2.0m) and UK public debt (£0.2m). Assumptions and sensitivity remain explicit; not a verified estimate.</x:v>
      </x:c>
    </x:row>
    <x:row r="48" ht="23" customHeight="1">
      <x:c r="A48" s="2"/>
      <x:c r="B48" s="2"/>
      <x:c r="C48" s="2"/>
      <x:c r="D48" s="2"/>
      <x:c r="E48" s="2"/>
      <x:c r="F48" s="2"/>
      <x:c r="G48" s="2"/>
    </x:row>
    <x:row r="49" ht="110" customHeight="1">
      <x:c r="A49" s="10" t="str">
        <x:v>Guinness treatment</x:v>
      </x:c>
      <x:c r="B49" s="10"/>
      <x:c r="C49" s="10"/>
      <x:c r="D49" s="10"/>
      <x:c r="E49" s="10"/>
      <x:c r="F49" s="10"/>
      <x:c r="G49" s="10" t="str">
        <x:v>No separate Guinness amount is identified in the aggregate estate table or the model. Do not classify its shares as external merely because traded in London. Dublin production exported abroad belongs in merchandise trade; income attributable to nonresident ownership of Irish operations is an outward-income candidate. Corporate residence and any GB operations require checking before company-level allocation.</x:v>
      </x:c>
    </x:row>
    <x:row r="50" ht="110" customHeight="1">
      <x:c r="A50" s="10" t="str">
        <x:v>Overseas investment definition</x:v>
      </x:c>
      <x:c r="B50" s="10"/>
      <x:c r="C50" s="10"/>
      <x:c r="D50" s="10"/>
      <x:c r="E50" s="10"/>
      <x:c r="F50" s="10"/>
      <x:c r="G50" s="10" t="str">
        <x:v>Includes Irish residents’ portfolios of GB and other external securities, not merely overseas factories owned by Irish businesses. Guinness Archive catalogue: London flotation 1886; first overseas brewery 1936. https://iar.ie/archive/english-trade-department/</x:v>
      </x:c>
    </x:row>
    <x:row r="51" ht="23" customHeight="1">
      <x:c r="A51" s="2"/>
      <x:c r="B51" s="2"/>
      <x:c r="C51" s="2"/>
      <x:c r="D51" s="2"/>
      <x:c r="E51" s="2"/>
      <x:c r="F51" s="2"/>
      <x:c r="G51" s="2"/>
    </x:row>
    <x:row r="52" ht="23" customHeight="1">
      <x:c r="A52" s="2"/>
      <x:c r="B52" s="2"/>
      <x:c r="C52" s="2"/>
      <x:c r="D52" s="2"/>
      <x:c r="E52" s="2"/>
      <x:c r="F52" s="2"/>
      <x:c r="G52" s="2"/>
    </x:row>
    <x:row r="53" ht="23" customHeight="1">
      <x:c r="A53" s="2"/>
      <x:c r="B53" s="2"/>
      <x:c r="C53" s="2"/>
      <x:c r="D53" s="2"/>
      <x:c r="E53" s="2"/>
      <x:c r="F53" s="2"/>
      <x:c r="G53" s="2"/>
    </x:row>
    <x:row r="54" ht="23" customHeight="1">
      <x:c r="A54" s="2"/>
      <x:c r="B54" s="2"/>
      <x:c r="C54" s="2"/>
      <x:c r="D54" s="2"/>
      <x:c r="E54" s="2"/>
      <x:c r="F54" s="2"/>
      <x:c r="G54" s="2"/>
    </x:row>
    <x:row r="55" ht="23" customHeight="1">
      <x:c r="A55" s="2"/>
      <x:c r="B55" s="2"/>
      <x:c r="C55" s="2"/>
      <x:c r="D55" s="2"/>
      <x:c r="E55" s="2"/>
      <x:c r="F55" s="2"/>
      <x:c r="G55" s="2"/>
    </x:row>
    <x:row r="56" ht="23" customHeight="1">
      <x:c r="A56" s="2"/>
      <x:c r="B56" s="2"/>
      <x:c r="C56" s="2"/>
      <x:c r="D56" s="2"/>
      <x:c r="E56" s="2"/>
      <x:c r="F56" s="2"/>
      <x:c r="G56" s="2"/>
    </x:row>
    <x:row r="57" ht="23" customHeight="1">
      <x:c r="A57" s="2"/>
      <x:c r="B57" s="2"/>
      <x:c r="C57" s="2"/>
      <x:c r="D57" s="2"/>
      <x:c r="E57" s="2"/>
      <x:c r="F57" s="2"/>
      <x:c r="G57" s="2"/>
    </x:row>
    <x:row r="58" ht="23" customHeight="1">
      <x:c r="A58" s="2"/>
      <x:c r="B58" s="2"/>
      <x:c r="C58" s="2"/>
      <x:c r="D58" s="2"/>
      <x:c r="E58" s="2"/>
      <x:c r="F58" s="2"/>
      <x:c r="G58" s="2"/>
    </x:row>
    <x:row r="59" ht="23" customHeight="1">
      <x:c r="A59" s="2"/>
      <x:c r="B59" s="2"/>
      <x:c r="C59" s="2"/>
      <x:c r="D59" s="2"/>
      <x:c r="E59" s="2"/>
      <x:c r="F59" s="2"/>
      <x:c r="G59" s="2"/>
    </x:row>
    <x:row r="60" ht="23" customHeight="1">
      <x:c r="A60" s="2"/>
      <x:c r="B60" s="2"/>
      <x:c r="C60" s="2"/>
      <x:c r="D60" s="2"/>
      <x:c r="E60" s="2"/>
      <x:c r="F60" s="2"/>
      <x:c r="G60" s="2"/>
    </x:row>
    <x:row r="61" ht="23" customHeight="1">
      <x:c r="A61" s="2"/>
      <x:c r="B61" s="2"/>
      <x:c r="C61" s="2"/>
      <x:c r="D61" s="2"/>
      <x:c r="E61" s="2"/>
      <x:c r="F61" s="2"/>
      <x:c r="G61" s="2"/>
    </x:row>
    <x:row r="62" ht="23" customHeight="1">
      <x:c r="A62" s="2"/>
      <x:c r="B62" s="2"/>
      <x:c r="C62" s="2"/>
      <x:c r="D62" s="2"/>
      <x:c r="E62" s="2"/>
      <x:c r="F62" s="2"/>
      <x:c r="G62" s="2"/>
    </x:row>
    <x:row r="63" ht="23" customHeight="1">
      <x:c r="A63" s="2"/>
      <x:c r="B63" s="2"/>
      <x:c r="C63" s="2"/>
      <x:c r="D63" s="2"/>
      <x:c r="E63" s="2"/>
      <x:c r="F63" s="2"/>
      <x:c r="G63" s="2"/>
    </x:row>
    <x:row r="64" ht="23" customHeight="1">
      <x:c r="A64" s="2"/>
      <x:c r="B64" s="2"/>
      <x:c r="C64" s="2"/>
      <x:c r="D64" s="2"/>
      <x:c r="E64" s="2"/>
      <x:c r="F64" s="2"/>
      <x:c r="G64" s="2"/>
    </x:row>
    <x:row r="65" ht="23" customHeight="1">
      <x:c r="A65" s="2"/>
      <x:c r="B65" s="2"/>
      <x:c r="C65" s="2"/>
      <x:c r="D65" s="2"/>
      <x:c r="E65" s="2"/>
      <x:c r="F65" s="2"/>
      <x:c r="G65" s="2"/>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3" hidden="0" customWidth="1"/>
    <x:col min="2" max="2" width="22" hidden="0" customWidth="1"/>
    <x:col min="3" max="3" width="90" hidden="0" customWidth="1"/>
  </x:cols>
  <x:sheetData>
    <x:row r="1" ht="23" customHeight="1">
      <x:c r="A1" s="2"/>
      <x:c r="B1" s="2"/>
      <x:c r="C1" s="2"/>
    </x:row>
    <x:row r="2" ht="23" customHeight="1">
      <x:c r="A2" s="3" t="str">
        <x:v>Primrose: ownership evidence and remaining source work</x:v>
      </x:c>
      <x:c r="B2" s="2"/>
      <x:c r="C2" s="2"/>
    </x:row>
    <x:row r="3" ht="23" customHeight="1">
      <x:c r="A3" s="4"/>
      <x:c r="B3" s="4"/>
      <x:c r="C3" s="4"/>
    </x:row>
    <x:row r="4" ht="30" customHeight="1">
      <x:c r="A4" s="7" t="str">
        <x:v>Finding</x:v>
      </x:c>
      <x:c r="B4" s="7" t="str">
        <x:v>Value / period</x:v>
      </x:c>
      <x:c r="C4" s="7" t="str">
        <x:v>Evidence and consequence</x:v>
      </x:c>
    </x:row>
    <x:row r="5" ht="96" customHeight="1">
      <x:c r="A5" s="10" t="str">
        <x:v>Source</x:v>
      </x:c>
      <x:c r="B5" s="10" t="str">
        <x:v>Cd.6799 (1913)</x:v>
      </x:c>
      <x:c r="C5" s="10" t="str">
        <x:v>Minutes of Evidence, Committee on Irish Finance, with Appendices. Supplied Primrose-1913-016480_complete.pdf. Printed page = PDF page minus 4 for pages cited below.</x:v>
      </x:c>
    </x:row>
    <x:row r="6" ht="96" customHeight="1">
      <x:c r="A6" s="10" t="str">
        <x:v>Personal-estate duty and domicile</x:v>
      </x:c>
      <x:c r="B6" s="10" t="str">
        <x:v>QQ525–540</x:v>
      </x:c>
      <x:c r="C6" s="10" t="str">
        <x:v>Soward, 12 May 1911, printed pp.19–20 / PDF pp.23–24. Country of collection closely approximates domicile, but is not an exact rule. Real-property duty follows the land. This supports, without fully establishing, the resident-ownership interpretation of the estate model.</x:v>
      </x:c>
    </x:row>
    <x:row r="7" ht="96" customHeight="1">
      <x:c r="A7" s="10" t="str">
        <x:v>British property paid upon in Ireland</x:v>
      </x:c>
      <x:c r="B7" s="52" t="n">
        <x:v>3307951</x:v>
      </x:c>
      <x:c r="C7" s="10" t="str">
        <x:v>1908–09, Q558, printed p.21 / PDF p.25. Capital passing through estates, not tax, annual income or total living wealth. Later-year comparison only; not adopted for 1901.</x:v>
      </x:c>
    </x:row>
    <x:row r="8" ht="96" customHeight="1">
      <x:c r="A8" s="10" t="str">
        <x:v>Irish property paid upon in GB</x:v>
      </x:c>
      <x:c r="B8" s="52" t="n">
        <x:v>808760</x:v>
      </x:c>
      <x:c r="C8" s="10" t="str">
        <x:v>1908–09, same question. Free personalty; legal situs and economic issuer residence must be distinguished. Do not turn these figures into an external share of all Irish securities.</x:v>
      </x:c>
    </x:row>
    <x:row r="9" ht="96" customHeight="1">
      <x:c r="A9" s="10" t="str">
        <x:v>Composition and scope</x:v>
      </x:c>
      <x:c r="B9" s="10" t="str">
        <x:v>QQ559–563</x:v>
      </x:c>
      <x:c r="C9" s="10" t="str">
        <x:v>Free personalty includes stocks, shares and bank money but also non-securities such as furniture and tenant-right. Resealing figures are not confined to the three securities categories in our model.</x:v>
      </x:c>
    </x:row>
    <x:row r="10" ht="96" customHeight="1">
      <x:c r="A10" s="10" t="str">
        <x:v>Old net Irish adjustment</x:v>
      </x:c>
      <x:c r="B10" s="59" t="n">
        <x:v>0.002</x:v>
      </x:c>
      <x:c r="C10" s="10" t="str">
        <x:v>Appendix I, printed p.191 / PDF p.195, memorandum written 1904: previous returns used 1889–90 probate evidence. This is the historical share in our existing gross-income cross-check.</x:v>
      </x:c>
    </x:row>
    <x:row r="11" ht="96" customHeight="1">
      <x:c r="A11" s="10" t="str">
        <x:v>Revised net Irish adjustment</x:v>
      </x:c>
      <x:c r="B11" s="59" t="n">
        <x:v>0.007</x:v>
      </x:c>
      <x:c r="C11" s="10" t="str">
        <x:v>Same appendix: 1903–04 return uses average estate evidence for 1898–99 to 1902–03. Applied to total UK tax produce of Schedule C and investment D; to one-fifth of trades/professions D. A tax-allocation share, not an overseas portfolio share.</x:v>
      </x:c>
    </x:row>
    <x:row r="12" ht="96" customHeight="1">
      <x:c r="A12" s="10" t="str">
        <x:v>Why the revision matters</x:v>
      </x:c>
      <x:c r="B12" s="10" t="str">
        <x:v>1898–99 to 1902–03</x:v>
      </x:c>
      <x:c r="C12" s="10" t="str">
        <x:v>Evidence period straddles 1901. Underlying gross resealing values in both directions are the next target. The net 0.7% alone cannot supply gross overseas income or a company-securities external fraction.</x:v>
      </x:c>
    </x:row>
    <x:row r="13" ht="96" customHeight="1">
      <x:c r="A13" s="10" t="str">
        <x:v>Mortgage criticism</x:v>
      </x:c>
      <x:c r="B13" s="10" t="str">
        <x:v>QQ697–715</x:v>
      </x:c>
      <x:c r="C13" s="10" t="str">
        <x:v>Howe, printed pp.25–26 / PDF pp.29–30: mortgages included in probate base, while related income is taxed under Schedule A without the same adjustment. Witness had not inspected the complete calculation; record as criticism, not a demonstrated quantified error.</x:v>
      </x:c>
    </x:row>
    <x:row r="14" ht="96" customHeight="1">
      <x:c r="A14" s="10" t="str">
        <x:v>Soward’s reply</x:v>
      </x:c>
      <x:c r="B14" s="10" t="str">
        <x:v>Printed p.189 / PDF p.193</x:v>
      </x:c>
      <x:c r="C14" s="10" t="str">
        <x:v>Mortgages only 6% of total free personalty; individual mortgagee, mortgagor and property usually in the same country, so he expects little error. Corporate mortgages do not pass on death. Reply qualifies the criticism but supplies no measured correction.</x:v>
      </x:c>
    </x:row>
    <x:row r="15" ht="96" customHeight="1">
      <x:c r="A15" s="10" t="str">
        <x:v>Land-purchase securities</x:v>
      </x:c>
      <x:c r="B15" s="10" t="str">
        <x:v>Soward note, p.189</x:v>
      </x:c>
      <x:c r="C15" s="10" t="str">
        <x:v>Securities commonly treated as situated where dividends are payable, usually owner’s country of permanent residence. Thus resealing may miss the link to Irish land. Estate Duty Office lacks the material for the special tax adjustment discussed. This is not itself a measured BoP flow.</x:v>
      </x:c>
    </x:row>
    <x:row r="16" ht="96" customHeight="1">
      <x:c r="A16" s="10" t="str">
        <x:v>Next original data to obtain</x:v>
      </x:c>
      <x:c r="B16" s="10" t="str">
        <x:v>Estate statistics, five years</x:v>
      </x:c>
      <x:c r="C16" s="10" t="str">
        <x:v>Seek gross cross-country free-personalty / resealing tables underlying the 1904 memorandum, covering 1898–99 to 1902–03, ideally with security categories. Check the 1903–04 Financial Relations Return and relevant Estate Duty / Inland Revenue tables first.</x:v>
      </x:c>
    </x:row>
    <x:row r="17" ht="96" customHeight="1">
      <x:c r="A17" s="10" t="str">
        <x:v>Decision for reconstruction</x:v>
      </x:c>
      <x:c r="B17" s="10" t="str">
        <x:v>Provisional scenario accepted</x:v>
      </x:c>
      <x:c r="C17" s="10" t="str">
        <x:v>User accepted estate-income working scenario on 13 October 2026. Primrose improves interpretation but does not resolve issuer split, mortality multiplier or yields. No separate Guinness estimate has yet been made.</x:v>
      </x:c>
    </x:row>
    <x:row r="18" ht="23" customHeight="1">
      <x:c r="A18" s="2"/>
      <x:c r="B18" s="2"/>
      <x:c r="C18" s="2"/>
    </x:row>
    <x:row r="19" ht="23" customHeight="1">
      <x:c r="A19" s="2"/>
      <x:c r="B19" s="2"/>
      <x:c r="C19" s="2"/>
    </x:row>
    <x:row r="20" ht="23" customHeight="1">
      <x:c r="A20" s="2"/>
      <x:c r="B20" s="2"/>
      <x:c r="C20" s="2"/>
    </x:row>
    <x:row r="21" ht="23" customHeight="1">
      <x:c r="A21" s="2"/>
      <x:c r="B21" s="2"/>
      <x:c r="C21" s="2"/>
    </x:row>
    <x:row r="22" ht="23" customHeight="1">
      <x:c r="A22" s="2"/>
      <x:c r="B22" s="2"/>
      <x:c r="C22" s="2"/>
    </x:row>
    <x:row r="23" ht="23" customHeight="1">
      <x:c r="A23" s="2"/>
      <x:c r="B23" s="2"/>
      <x:c r="C23" s="2"/>
    </x:row>
    <x:row r="24" ht="23" customHeight="1">
      <x:c r="A24" s="2"/>
      <x:c r="B24" s="2"/>
      <x:c r="C24" s="2"/>
    </x:row>
    <x:row r="25" ht="23" customHeight="1">
      <x:c r="A25" s="2"/>
      <x:c r="B25" s="2"/>
      <x:c r="C25" s="2"/>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9" hidden="0" customWidth="1"/>
    <x:col min="2" max="2" width="23" hidden="0" customWidth="1"/>
    <x:col min="3" max="3" width="93" hidden="0" customWidth="1"/>
  </x:cols>
  <x:sheetData>
    <x:row r="1" ht="23" customHeight="1">
      <x:c r="A1" s="2"/>
      <x:c r="B1" s="2"/>
      <x:c r="C1" s="2"/>
    </x:row>
    <x:row r="2" ht="23" customHeight="1">
      <x:c r="A2" s="3" t="str">
        <x:v>Outward property income: Commission starting point</x:v>
      </x:c>
      <x:c r="B2" s="2"/>
      <x:c r="C2" s="2"/>
    </x:row>
    <x:row r="3" ht="23" customHeight="1">
      <x:c r="A3" s="4"/>
      <x:c r="B3" s="4"/>
      <x:c r="C3" s="4"/>
    </x:row>
    <x:row r="4" ht="30" customHeight="1">
      <x:c r="A4" s="7" t="str">
        <x:v>Source item</x:v>
      </x:c>
      <x:c r="B4" s="7" t="str">
        <x:v>Annual £ / input</x:v>
      </x:c>
      <x:c r="C4" s="7" t="str">
        <x:v>Source date, interpretation and treatment</x:v>
      </x:c>
    </x:row>
    <x:row r="5" ht="88" customHeight="1">
      <x:c r="A5" s="10" t="str">
        <x:v>Rural absentee rental</x:v>
      </x:c>
      <x:c r="B5" s="52" t="n">
        <x:v>2470816</x:v>
      </x:c>
      <x:c r="C5" s="10" t="str">
        <x:v>O’Brien memorandum presented 8 March 1895, Appendix III, printed p.196 / PDF p.436 of BPP_1896-073783_financial relations.pdf. Cites return 167 of 23 April 1872. Older underlying observation, not a fresh 1895 measurement.</x:v>
      </x:c>
    </x:row>
    <x:row r="6" ht="88" customHeight="1">
      <x:c r="A6" s="10" t="str">
        <x:v>Urban absentee rental</x:v>
      </x:c>
      <x:c r="B6" s="52" t="n">
        <x:v>960900</x:v>
      </x:c>
      <x:c r="C6" s="10" t="str">
        <x:v>Same memorandum: estimated using a similar proportion of urban property. Not a separate enumeration of nonresident owners.</x:v>
      </x:c>
    </x:row>
    <x:row r="7" ht="88" customHeight="1">
      <x:c r="A7" s="10" t="str">
        <x:v>Residue of London companies’ estates</x:v>
      </x:c>
      <x:c r="B7" s="52" t="n">
        <x:v>30000</x:v>
      </x:c>
      <x:c r="C7" s="10" t="str">
        <x:v>Same memorandum, separate row 3. Included in the sum below.</x:v>
      </x:c>
    </x:row>
    <x:row r="8" ht="88" customHeight="1">
      <x:c r="A8" s="10" t="str">
        <x:v>Sum of specified rental items</x:v>
      </x:c>
      <x:c r="B8" s="52" t="n">
        <x:f>SUM(B5:B7)</x:f>
        <x:v>3461716</x:v>
      </x:c>
      <x:c r="C8" s="10" t="str">
        <x:v>Reconstructed sum of the three source rows. The report discussion printed p.71 / PDF p.75 quotes £3,431,716 for rural plus urban alone; that excludes the £30,000 London-company row.</x:v>
      </x:c>
    </x:row>
    <x:row r="9" ht="88" customHeight="1">
      <x:c r="A9" s="10" t="str">
        <x:v>O’Brien probable absentee rental</x:v>
      </x:c>
      <x:c r="B9" s="52" t="n">
        <x:v>5000000</x:v>
      </x:c>
      <x:c r="C9" s="10" t="str">
        <x:v>1895 memorandum: probable amount covering rental rows 1–3. User-selected provisional main estimate for 1901 because it is closer in date. Contemporary judgment, not a fresh census or observed remittance total.</x:v>
      </x:c>
    </x:row>
    <x:row r="10" ht="88" customHeight="1">
      <x:c r="A10" s="10" t="str">
        <x:v>English insurance mortgage principal</x:v>
      </x:c>
      <x:c r="B10" s="52" t="n">
        <x:v>14000000</x:v>
      </x:c>
      <x:c r="C10" s="10" t="str">
        <x:v>Giffen estimate dated 1886, cited in the 1895 memorandum. Capital outstanding, not annual income.</x:v>
      </x:c>
    </x:row>
    <x:row r="11" ht="88" customHeight="1">
      <x:c r="A11" s="10" t="str">
        <x:v>Assumed annual interest rate</x:v>
      </x:c>
      <x:c r="B11" s="59" t="n">
        <x:v>0.045</x:v>
      </x:c>
      <x:c r="C11" s="10" t="str">
        <x:v>O’Brien applies 4½% to the £14m principal.</x:v>
      </x:c>
    </x:row>
    <x:row r="12" ht="88" customHeight="1">
      <x:c r="A12" s="10" t="str">
        <x:v>Implied mortgage interest</x:v>
      </x:c>
      <x:c r="B12" s="52" t="n">
        <x:f>B10*B11</x:f>
        <x:v>630000</x:v>
      </x:c>
      <x:c r="C12" s="10" t="str">
        <x:v>Historical £630,000 estimate. Not automatically additional to absentee gross rent; mortgages on nonresident landlords’ property can be paid out of rent already counted.</x:v>
      </x:c>
    </x:row>
    <x:row r="13" ht="88" customHeight="1">
      <x:c r="A13" s="10" t="str">
        <x:v>Probable mortgages and annuities</x:v>
      </x:c>
      <x:c r="B13" s="52" t="n">
        <x:v>1500000</x:v>
      </x:c>
      <x:c r="C13" s="10" t="str">
        <x:v>O’Brien alternative broad estimate: all absentee mortgages and annuities. Do not add £630,000 to this £1.5m; the narrower amount is included conceptually.</x:v>
      </x:c>
    </x:row>
    <x:row r="14" ht="88" customHeight="1">
      <x:c r="A14" s="10" t="str">
        <x:v>Contemporary challenge</x:v>
      </x:c>
      <x:c r="B14" s="10"/>
      <x:c r="C14" s="10" t="str">
        <x:v>1895 evidence printed p.225 / PDF p.233, QQ5555–5558: O’Brien cannot quantify mortgage total beyond Giffen; Welby reports English insurance mortgage holdings have declined. No measured 1901 correction follows.</x:v>
      </x:c>
    </x:row>
    <x:row r="15" ht="88" customHeight="1">
      <x:c r="A15" s="10" t="str">
        <x:v>Overlap rule</x:v>
      </x:c>
      <x:c r="B15" s="10"/>
      <x:c r="C15" s="10" t="str">
        <x:v>Count rent reaching nonresidents and interest paid directly by residents to nonresident lenders. Do not count the same money again when a nonresident landlord services a nonresident mortgage from that rent. Source does not quantify this overlap.</x:v>
      </x:c>
    </x:row>
    <x:row r="16" ht="88" customHeight="1">
      <x:c r="A16" s="10" t="str">
        <x:v>Land-purchase adjustment</x:v>
      </x:c>
      <x:c r="B16" s="10"/>
      <x:c r="C16" s="10" t="str">
        <x:v>Supplied H.C.334 (1902), IrishLandCommission1902-001746_complete.pdf, p.3, describes holding-level advances and defaults, not a complete resident/nonresident interest allocation. Judicial-rent return IrishLandCommission1902-002069_complete.pdf concerns rents fixed, not overseas ownership. No numerical absentee adjustment yet justified.</x:v>
      </x:c>
    </x:row>
    <x:row r="17" ht="88" customHeight="1">
      <x:c r="A17" s="10" t="str">
        <x:v>Exclude principal and deposits</x:v>
      </x:c>
      <x:c r="B17" s="10"/>
      <x:c r="C17" s="10" t="str">
        <x:v>O’Brien broader drain table includes principal repayments, new savings deposits and mixed land-purchase annuities. These cannot all be treated as current-account investment income. Annuities need interest/principal separation; government items need fiscal reconciliation.</x:v>
      </x:c>
    </x:row>
    <x:row r="18" ht="88" customHeight="1">
      <x:c r="A18" s="10" t="str">
        <x:v>Guinness and other company profits</x:v>
      </x:c>
      <x:c r="B18" s="10"/>
      <x:c r="C18" s="10" t="str">
        <x:v>Not measured by this rental and mortgage schedule. Remain a separate outward-income research item; no invented addition.</x:v>
      </x:c>
    </x:row>
    <x:row r="19" ht="88" customHeight="1">
      <x:c r="A19" s="10"/>
      <x:c r="B19" s="10"/>
      <x:c r="C19" s="10"/>
    </x:row>
    <x:row r="20" ht="88" customHeight="1">
      <x:c r="A20" s="10"/>
      <x:c r="B20" s="10"/>
      <x:c r="C20" s="10"/>
    </x:row>
    <x:row r="21" ht="88" customHeight="1">
      <x:c r="A21" s="7" t="str">
        <x:v>Decision comparison</x:v>
      </x:c>
      <x:c r="B21" s="7" t="str">
        <x:v>Incomplete balance £</x:v>
      </x:c>
      <x:c r="C21" s="7" t="str">
        <x:v>Rental-only alternatives: mortgage interest and company-profit outflows still unresolved. These are not confidence bounds.</x:v>
      </x:c>
    </x:row>
    <x:row r="22" ht="88" customHeight="1">
      <x:c r="A22" s="10" t="str">
        <x:v>Before outward property income</x:v>
      </x:c>
      <x:c r="B22" s="52" t="n">
        <x:f>'Account'!B21-'Account'!B15</x:f>
        <x:v>-1790872.1073666904</x:v>
      </x:c>
      <x:c r="C22" s="10" t="str">
        <x:v>Current Account subtotal, including £2.2m provisional inward securities income.</x:v>
      </x:c>
    </x:row>
    <x:row r="23" ht="88" customHeight="1">
      <x:c r="A23" s="10" t="str">
        <x:v>Using specified rental sum</x:v>
      </x:c>
      <x:c r="B23" s="52" t="n">
        <x:f>B22-B8</x:f>
        <x:v>-5252588.10736669</x:v>
      </x:c>
      <x:c r="C23" s="10" t="str">
        <x:v>Subtract £3,461,716; carries the older underlying rental evidence forward unchanged.</x:v>
      </x:c>
    </x:row>
    <x:row r="24" ht="88" customHeight="1">
      <x:c r="A24" s="10" t="str">
        <x:v>Using 1895 probable rental</x:v>
      </x:c>
      <x:c r="B24" s="52" t="n">
        <x:f>B22-B9</x:f>
        <x:v>-6790872.10736669</x:v>
      </x:c>
      <x:c r="C24" s="10" t="str">
        <x:v>Selected main case: subtract £5m, carrying O’Brien’s estimate presented in 1895 forward unchanged. Additional mortgage interest and company profits remain unresolved.</x:v>
      </x:c>
    </x:row>
    <x:row r="25" ht="88" customHeight="1">
      <x:c r="A25" s="10"/>
      <x:c r="B25" s="10"/>
      <x:c r="C25" s="10"/>
    </x:row>
    <x:row r="26" ht="88" customHeight="1">
      <x:c r="A26" s="10"/>
      <x:c r="B26" s="10"/>
      <x:c r="C26" s="10"/>
    </x:row>
    <x:row r="27" ht="88" customHeight="1">
      <x:c r="A27" s="10" t="str">
        <x:v>Decision recorded</x:v>
      </x:c>
      <x:c r="B27" s="10"/>
      <x:c r="C27" s="10" t="str">
        <x:v>User prioritises the closer-date estimate: £5m absentee rents entered provisionally in Account. £3.46m remains an alternative, not a confidence bound. No separate mortgage addition or unsupported land-purchase adjustment.</x:v>
      </x:c>
    </x:row>
    <x:row r="28" ht="23" customHeight="1">
      <x:c r="A28" s="2"/>
      <x:c r="B28" s="2"/>
      <x:c r="C28" s="2"/>
    </x:row>
    <x:row r="29" ht="23" customHeight="1">
      <x:c r="A29" s="2"/>
      <x:c r="B29" s="2"/>
      <x:c r="C29" s="2"/>
    </x:row>
    <x:row r="30" ht="23" customHeight="1">
      <x:c r="A30" s="2"/>
      <x:c r="B30" s="2"/>
      <x:c r="C30" s="2"/>
    </x:row>
    <x:row r="31" ht="23" customHeight="1">
      <x:c r="A31" s="2"/>
      <x:c r="B31" s="2"/>
      <x:c r="C31" s="2"/>
    </x:row>
    <x:row r="32" ht="23" customHeight="1">
      <x:c r="A32" s="2"/>
      <x:c r="B32" s="2"/>
      <x:c r="C32" s="2"/>
    </x:row>
    <x:row r="33" ht="23" customHeight="1">
      <x:c r="A33" s="2"/>
      <x:c r="B33" s="2"/>
      <x:c r="C33" s="2"/>
    </x:row>
    <x:row r="34" ht="23" customHeight="1">
      <x:c r="A34" s="2"/>
      <x:c r="B34" s="2"/>
      <x:c r="C34" s="2"/>
    </x:row>
    <x:row r="35" ht="23" customHeight="1">
      <x:c r="A35" s="2"/>
      <x:c r="B35" s="2"/>
      <x:c r="C35" s="2"/>
    </x:row>
  </x:sheetData>
  <x:pageMargins left="0.7" right="0.7" top="0.75" bottom="0.75" header="0.3" footer="0.3"/>
</x:worksheet>
</file>